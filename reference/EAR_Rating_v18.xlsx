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13"/>
  <workbookPr/>
  <mc:AlternateContent xmlns:mc="http://schemas.openxmlformats.org/markup-compatibility/2006">
    <mc:Choice Requires="x15">
      <x15ac:absPath xmlns:x15ac="http://schemas.microsoft.com/office/spreadsheetml/2010/11/ac" url="/Users/hami/Desktop/EAR/"/>
    </mc:Choice>
  </mc:AlternateContent>
  <xr:revisionPtr revIDLastSave="0" documentId="13_ncr:1_{0006108C-5009-9848-A459-367412C1FAAE}" xr6:coauthVersionLast="47" xr6:coauthVersionMax="47" xr10:uidLastSave="{00000000-0000-0000-0000-000000000000}"/>
  <bookViews>
    <workbookView xWindow="0" yWindow="780" windowWidth="34200" windowHeight="21460" tabRatio="500" xr2:uid="{00000000-000D-0000-FFFF-FFFF00000000}"/>
  </bookViews>
  <sheets>
    <sheet name="محاسبه-ساده" sheetId="1" r:id="rId1"/>
    <sheet name="Data" sheetId="3" r:id="rId2"/>
    <sheet name="Rate-SubGroup" sheetId="4" r:id="rId3"/>
    <sheet name="Rate-Clauses" sheetId="5" r:id="rId4"/>
    <sheet name="Rate-IndividualMachines" sheetId="6" r:id="rId5"/>
    <sheet name="Rate-TPL" sheetId="7" r:id="rId6"/>
    <sheet name="Rate-Deductibles" sheetId="8" r:id="rId7"/>
    <sheet name="Rate-BINARY" sheetId="9" r:id="rId8"/>
    <sheet name="Rate-Region" sheetId="10" r:id="rId9"/>
    <sheet name="Currency-Conversion" sheetId="2" r:id="rId10"/>
    <sheet name="Rate-Asset" sheetId="11" r:id="rId11"/>
    <sheet name="Changelog" sheetId="12" r:id="rId12"/>
    <sheet name="Rate-Hazard" sheetId="13" r:id="rId13"/>
    <sheet name="Hazard-Cities-2800" sheetId="14" r:id="rId14"/>
    <sheet name="Rate-EQ-SwissRe" sheetId="15" r:id="rId15"/>
    <sheet name="Hazard-Province-Index" sheetId="16" r:id="rId16"/>
  </sheets>
  <definedNames>
    <definedName name="EAR_Machines">'Rate-IndividualMachines'!$K$2:$K$109</definedName>
    <definedName name="_xlnm._FilterDatabase" localSheetId="3" hidden="1">'Rate-Clauses'!$A$1:$G$31</definedName>
    <definedName name="_xlnm._FilterDatabase" localSheetId="4" hidden="1">'Rate-IndividualMachines'!$A$2:$I$87</definedName>
    <definedName name="EAR_01___Public_Utilities">'Rate-SubGroup'!$A$2:$A$58</definedName>
    <definedName name="EAR_02___Industrial_Plant_Utilities">'Rate-SubGroup'!$A$59:$A$70</definedName>
    <definedName name="EAR_03___Mining_Industry">'Rate-SubGroup'!$A$71:$A$74</definedName>
    <definedName name="EAR_04___Chemical_Industry">'Rate-SubGroup'!$A$75:$A$92</definedName>
    <definedName name="EAR_05___Metal_Industry">'Rate-SubGroup'!$A$93:$A$99</definedName>
    <definedName name="EAR_06___Building_Industry">'Rate-SubGroup'!$A$100:$A$104</definedName>
    <definedName name="EAR_07___Timber___Wood">'Rate-SubGroup'!$A$105:$A$107</definedName>
    <definedName name="EAR_08___Pulp___Paper">'Rate-SubGroup'!$A$108:$A$109</definedName>
    <definedName name="EAR_09___Printing___Packing">'Rate-SubGroup'!$A$110:$A$111</definedName>
    <definedName name="EAR_10___Leather_Industry">'Rate-SubGroup'!$A$112:$A$113</definedName>
    <definedName name="EAR_11___Textile_Industry">'Rate-SubGroup'!$A$114:$A$120</definedName>
    <definedName name="EAR_12___Plastic___Rubber">'Rate-SubGroup'!$A$121:$A$126</definedName>
    <definedName name="EAR_13___Food__Vegetable_">'Rate-SubGroup'!$A$127:$A$135</definedName>
    <definedName name="EAR_14___Food__Animal_">'Rate-SubGroup'!$A$136:$A$138</definedName>
    <definedName name="EAR_15___Food_Refrigeration">'Rate-SubGroup'!$A$139:$A$140</definedName>
    <definedName name="EAR_16___Transport___Warehouses">'Rate-SubGroup'!$A$141:$A$144</definedName>
    <definedName name="EAR_17___Public_Services">'Rate-SubGroup'!$A$145:$A$147</definedName>
    <definedName name="EAR_18___Hospitals___Hotels">'Rate-SubGroup'!$A$148:$A$149</definedName>
    <definedName name="EAR_19___Farming___Agriculture">'Rate-SubGroup'!$A$150:$A$152</definedName>
    <definedName name="EAR_Clauses">'Rate-Clauses'!$I$2:$I$27</definedName>
    <definedName name="EAR_Groups">'Rate-SubGroup'!$N$2:$N$20</definedName>
    <definedName name="HZP_01">'Hazard-Cities-2800'!$C$2:$C$22</definedName>
    <definedName name="HZP_02">'Hazard-Cities-2800'!$C$23:$C$41</definedName>
    <definedName name="HZP_03">'Hazard-Cities-2800'!$C$42:$C$56</definedName>
    <definedName name="HZP_04">'Hazard-Cities-2800'!$C$57:$C$88</definedName>
    <definedName name="HZP_05">'Hazard-Cities-2800'!$C$89:$C$96</definedName>
    <definedName name="HZP_06">'Hazard-Cities-2800'!$C$97:$C$116</definedName>
    <definedName name="HZP_07">'Hazard-Cities-2800'!$C$117:$C$142</definedName>
    <definedName name="HZP_08">'Hazard-Cities-2800'!$C$143:$C$155</definedName>
    <definedName name="HZP_09">'Hazard-Cities-2800'!$C$156:$C$181</definedName>
    <definedName name="HZP_10">'Hazard-Cities-2800'!$C$182:$C$191</definedName>
    <definedName name="HZP_11">'Hazard-Cities-2800'!$C$192:$C$221</definedName>
    <definedName name="HZP_12">'Hazard-Cities-2800'!$C$222:$C$231</definedName>
    <definedName name="HZP_13">'Hazard-Cities-2800'!$C$232:$C$252</definedName>
    <definedName name="HZP_14">'Hazard-Cities-2800'!$C$253:$C$274</definedName>
    <definedName name="HZP_15">'Hazard-Cities-2800'!$C$275:$C$304</definedName>
    <definedName name="HZP_16">'Hazard-Cities-2800'!$C$305:$C$311</definedName>
    <definedName name="HZP_17">'Hazard-Cities-2800'!$C$312:$C$316</definedName>
    <definedName name="HZP_18">'Hazard-Cities-2800'!$C$317:$C$325</definedName>
    <definedName name="HZP_19">'Hazard-Cities-2800'!$C$326:$C$347</definedName>
    <definedName name="HZP_20">'Hazard-Cities-2800'!$C$348:$C$360</definedName>
    <definedName name="HZP_21">'Hazard-Cities-2800'!$C$361:$C$373</definedName>
    <definedName name="HZP_22">'Hazard-Cities-2800'!$C$374:$C$382</definedName>
    <definedName name="HZP_23">'Hazard-Cities-2800'!$C$383:$C$394</definedName>
    <definedName name="HZP_24">'Hazard-Cities-2800'!$C$395:$C$402</definedName>
    <definedName name="HZP_25">'Hazard-Cities-2800'!$C$403:$C$423</definedName>
    <definedName name="HZP_26">'Hazard-Cities-2800'!$C$424:$C$440</definedName>
    <definedName name="HZP_27">'Hazard-Cities-2800'!$C$441:$C$444</definedName>
    <definedName name="HZP_28">'Hazard-Cities-2800'!$C$445:$C$454</definedName>
    <definedName name="HZP_29">'Hazard-Cities-2800'!$C$455:$C$472</definedName>
    <definedName name="HZP_30">'Hazard-Cities-2800'!$C$473:$C$490</definedName>
  </definedNames>
  <calcPr calcId="191029" iterateDelta="1E-4" fullCalcOn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<sst xmlns="http://schemas.openxmlformats.org/spreadsheetml/2006/main" count="5065" uniqueCount="2627">
  <si>
    <t>🧮  محاسبهٔ سریع حق‌بیمهٔ EAR</t>
  </si>
  <si>
    <t>نرخ فنی نهایی (بدون TPL)</t>
  </si>
  <si>
    <t>حق‌بیمهٔ کل قابل‌پرداخت (﷼)</t>
  </si>
  <si>
    <t>۱) مشخصات پروژه</t>
  </si>
  <si>
    <t>گروه صنعتی</t>
  </si>
  <si>
    <t>05 — Metal Industry</t>
  </si>
  <si>
    <t>از فهرست انتخاب کنید</t>
  </si>
  <si>
    <t>زیرگروه پروژه</t>
  </si>
  <si>
    <t>12.5 Paint factories and processing of comparable products</t>
  </si>
  <si>
    <t>بر اساس گروه بالا فیلتر می‌شود</t>
  </si>
  <si>
    <t>مدت پروژه (ماه)</t>
  </si>
  <si>
    <t>نصب + آزمایش، جمعاً</t>
  </si>
  <si>
    <t>استان</t>
  </si>
  <si>
    <t>قم</t>
  </si>
  <si>
    <t>شهرستان</t>
  </si>
  <si>
    <t>۲) مبلغ‌ها</t>
  </si>
  <si>
    <t>مبلغ بیمه — ارزش کل پروژه (﷼)</t>
  </si>
  <si>
    <t>مبنای اصلی محاسبهٔ حق‌بیمه</t>
  </si>
  <si>
    <t>سقف مسئولیت شخص ثالث TPL (﷼)</t>
  </si>
  <si>
    <t>سقف غرامت مسئولیت مدنی</t>
  </si>
  <si>
    <t>۳) گزینه‌های رایج (بیشتر پروژه‌ها این‌ها را دارند)</t>
  </si>
  <si>
    <t>آزمایش/راه‌اندازی (Testing) شامل شود؟</t>
  </si>
  <si>
    <t>Yes</t>
  </si>
  <si>
    <t>اگر پروژه دورهٔ آزمایش دارد</t>
  </si>
  <si>
    <t>طبقهٔ نگهداری</t>
  </si>
  <si>
    <t>Heavy</t>
  </si>
  <si>
    <t>سبک (Light) یا سنگین/شیمیایی (Heavy)</t>
  </si>
  <si>
    <t>۰ یعنی ندارد</t>
  </si>
  <si>
    <t>کلاس حساسیت تجهیزات در برابر زلزله (۱ تا ۴)</t>
  </si>
  <si>
    <t>۱=غیرحساس … ۴=بسیار حساس</t>
  </si>
  <si>
    <t>کلاس مقاومت سازهٔ ساختمان (۱ تا ۶)</t>
  </si>
  <si>
    <t>۱=فولادی سبک … ۶=بنایی آجری</t>
  </si>
  <si>
    <t>ردهٔ ریسک فنی TPL</t>
  </si>
  <si>
    <t>III (Heavy)</t>
  </si>
  <si>
    <t>سبک / متوسط / سنگین</t>
  </si>
  <si>
    <t>ردهٔ محیط اطراف کارگاه (TPL)</t>
  </si>
  <si>
    <t>b — outer town (moderate density)</t>
  </si>
  <si>
    <t>مسئولیت متقابل (Cross Liability) شامل شود؟</t>
  </si>
  <si>
    <t>٪۳۵ اضافه بر حق‌بیمهٔ TPL</t>
  </si>
  <si>
    <t>۴) گزینه‌های تکمیلی (فقط اگر پروژه دارد وارد کنید)</t>
  </si>
  <si>
    <t>ریسک سازندهٔ تجهیزات — نقص مواد/کارگری (ماه)</t>
  </si>
  <si>
    <t>۰ = ندارد</t>
  </si>
  <si>
    <t>ریسک سازندهٔ تجهیزات — نقص طراحی (ماه)</t>
  </si>
  <si>
    <t>هزینهٔ تسریع — درصد از نرخ کار (اعشاری)</t>
  </si>
  <si>
    <t>مثلاً ۰.۰۷۵ برای ۷.۵٪  ·  ۰ = ندارد</t>
  </si>
  <si>
    <t>شورش و اعتصاب — نرخ آتش‌نشانی (‰)</t>
  </si>
  <si>
    <t>از بازار بیمهٔ آتش‌سوزی محلی بگیرید  ·  ۰ = ندارد</t>
  </si>
  <si>
    <t>شورش و اعتصاب — دوره</t>
  </si>
  <si>
    <t>Testing/Commissioning period</t>
  </si>
  <si>
    <t>نصب یا آزمایش</t>
  </si>
  <si>
    <t>هوابرد — سقف تعهد (﷼)</t>
  </si>
  <si>
    <t>هوابرد — نرخ (‰)</t>
  </si>
  <si>
    <t>۵‰ زیر ۲۰۰۰ مایل، تا ۲۰‰ فاصلهٔ بیشتر</t>
  </si>
  <si>
    <t>انبارداری پیش از نصب — ارزش کالا (﷼)</t>
  </si>
  <si>
    <t>انبارداری پیش از نصب — مدت (ماه)</t>
  </si>
  <si>
    <t>ترانزیت زمینی — ارزش کالای در حال حمل (﷼)</t>
  </si>
  <si>
    <t>رفع نخاله — سقف هر رویداد (﷼)</t>
  </si>
  <si>
    <t>اموال مجاور — نوع پوشش</t>
  </si>
  <si>
    <t>Not included — existing property not covered</t>
  </si>
  <si>
    <t>پوشش اموال موجود در محل کارگاه</t>
  </si>
  <si>
    <t>اموال مجاور — سقف هر رویداد (﷼)</t>
  </si>
  <si>
    <t>معافیت زلزله (Earthquake Exclusion) اعمال شود؟</t>
  </si>
  <si>
    <t>No</t>
  </si>
  <si>
    <t>در صورت Yes، بارگذاری زلزله صفر می‌شود</t>
  </si>
  <si>
    <t>۵) تنظیمات مالی</t>
  </si>
  <si>
    <t>تعدیل نرخ‌گذار (اعشاری؛ منفی=تخفیف)</t>
  </si>
  <si>
    <t>مثلاً ‎-0.1 برای ۱۰٪ تخفیف</t>
  </si>
  <si>
    <t>کارمزد نمایندگی (اعشاری)</t>
  </si>
  <si>
    <t>مثلاً ۰.۱ برای ۱۰٪</t>
  </si>
  <si>
    <t>مالیات/عوارض بیمه (اعشاری)</t>
  </si>
  <si>
    <t>نرخ فعلی ایران: ۰.۰۹</t>
  </si>
  <si>
    <t>تبدیل C-Unit (دلار ۱۹۹۷) به ریال ۱۴۰۵ — مبنای واحد پولی کل کاربرگ</t>
  </si>
  <si>
    <t>۱) نرخ ارز نیمایی (ریال به ازای ۱ دلار آمریکا)</t>
  </si>
  <si>
    <t>نرخ نیمایی امروز</t>
  </si>
  <si>
    <t>⚠ ورودی — هر بار قبل از محاسبه، این عدد را با نرخ نیمایی روز (سامانه نیما / سنا) به‌روزرسانی کنید. عدد فعلی نمونه از تیر ۱۴۰۵ است، نه نرخ لحظه‌ای.</t>
  </si>
  <si>
    <t>۲) ضریب تعدیل تورمی دلار آمریکا، ۱۹۹۷ ← ۲۰۲۶</t>
  </si>
  <si>
    <t>نسبت CPI-U آمریکا (۲۰۲۶ ÷ ۱۹۹۷)</t>
  </si>
  <si>
    <t>مبنا: CPI-U میانگین ۱۹۹۷≈۱۶۰.۵ و برآورد اوایل ۲۰۲۶≈۳۳۲ (بر اساس روند BLS). تخمین مهندسی معقول، نه رقم رسمی دقیق این ماه؛ برای دقت بالاتر: bls.gov/data/inflation_calculator.htm</t>
  </si>
  <si>
    <t>۳) ضریب نهایی تبدیل — هر ۱ c-unit معادل چند ریال ۱۴۰۵</t>
  </si>
  <si>
    <t>ضریب نهایی (ریال به ازای هر c-unit)</t>
  </si>
  <si>
    <t>نرخ نیمایی × ضریب تورمی. تمام سلول‌های پولی کاربرگ از همین یک سلول تغذیه می‌شوند.</t>
  </si>
  <si>
    <t>۴) آستانه‌های عددی سوئیس‌ری که مستقیم در فرمول‌های شیت Data استفاده می‌شوند</t>
  </si>
  <si>
    <t>شرح آستانه</t>
  </si>
  <si>
    <t>مقدار اصلی (c-unit)</t>
  </si>
  <si>
    <t>معادل ریالی (فرمول)</t>
  </si>
  <si>
    <t>کجا استفاده می‌شود</t>
  </si>
  <si>
    <t>سقف معافیت رفع نخاله (فعال‌سازی نرخ)</t>
  </si>
  <si>
    <t>Data!E39 — اگر سقف واردشده کمتر باشد، حق‌بیمه صفر است</t>
  </si>
  <si>
    <t>حداقل فرضی حق‌بیمهٔ MD (پیش‌فرض در نبود ردیف)</t>
  </si>
  <si>
    <t>Data!E69 — کف‌ محافظه‌کارانهٔ آخر، فقط اگر زیرگروه پیدا نشود</t>
  </si>
  <si>
    <t>سقف پوشش اموال مجاور (فقط مرجع، هنوز در فرمول اعمال نشده)</t>
  </si>
  <si>
    <t>Rate-Asset — یادداشت مرجع، آماده برای اعتبارسنجی آینده</t>
  </si>
  <si>
    <t>سقف پوشش رفع نخاله (فقط مرجع، هنوز در فرمول اعمال نشده)</t>
  </si>
  <si>
    <t>یادداشت مرجع، آماده برای اعتبارسنجی آینده</t>
  </si>
  <si>
    <t>بازهٔ سقف کل TPL — ۰.۵ میلیون c-unit</t>
  </si>
  <si>
    <t>Data!E46 — آستانهٔ اول جدول ضریب سقف TPL</t>
  </si>
  <si>
    <t>بازهٔ سقف کل TPL — ۱ میلیون c-unit</t>
  </si>
  <si>
    <t>Data!E46</t>
  </si>
  <si>
    <t>بازهٔ سقف کل TPL — ۲ میلیون c-unit</t>
  </si>
  <si>
    <t>بازهٔ سقف کل TPL — ۴ میلیون c-unit</t>
  </si>
  <si>
    <t>بازهٔ سقف کل TPL — ۶ میلیون c-unit</t>
  </si>
  <si>
    <t>بازهٔ سقف کل TPL — ۸ میلیون c-unit</t>
  </si>
  <si>
    <t>بازهٔ سقف کل TPL — ۱۰ میلیون c-unit</t>
  </si>
  <si>
    <t>EAR (Erection All Risks) — Premium Rating Engine  ·  Swiss Re EAR methodology</t>
  </si>
  <si>
    <t>#</t>
  </si>
  <si>
    <t>Input / Parameter</t>
  </si>
  <si>
    <t>Selected Value</t>
  </si>
  <si>
    <t>Computed</t>
  </si>
  <si>
    <t>Notes / Swiss Re guidance</t>
  </si>
  <si>
    <t>A   RISK CLASSIFICATION</t>
  </si>
  <si>
    <t>A1</t>
  </si>
  <si>
    <t>Industry Group</t>
  </si>
  <si>
    <t>Select industry group. Drives the sub-group list.</t>
  </si>
  <si>
    <t>A2</t>
  </si>
  <si>
    <t>Project Sub-Group</t>
  </si>
  <si>
    <t>Auto-filtered by group. Full EAR name incl. size band — this drives all base rates.</t>
  </si>
  <si>
    <t>A3</t>
  </si>
  <si>
    <t>Project Duration (months)</t>
  </si>
  <si>
    <t>Total erection + testing period. Drives month-band rate build-up.</t>
  </si>
  <si>
    <t>A4</t>
  </si>
  <si>
    <t>Province (Iran) — Standard 2800</t>
  </si>
  <si>
    <t>Select Province here; City/Town auto-filters in the row below (C8). Hazard level (E7) is read from the Standard 2800 (4th ed.) Appendix 1 classification, 489 county-seat points — sheet 'Hazard-Cities-2800'.</t>
  </si>
  <si>
    <t>A5</t>
  </si>
  <si>
    <t>City/Town (auto-filtered by Province)</t>
  </si>
  <si>
    <t>City/town auto-filtered to the Province selected in C7 (Standard 2800 Appendix 1 classification, 489 county-seat points — sheet 'Hazard-Cities-2800'). Hazard level result shown in E7.</t>
  </si>
  <si>
    <t>Safe defined-name code driving the C8 dropdown (INDIRECT target) — same pattern as I5/J5 for Group→Sub-group.</t>
  </si>
  <si>
    <t>B   BASE ERECTION RATE  (from Rate-SubGroup, by month-band)</t>
  </si>
  <si>
    <t>B1</t>
  </si>
  <si>
    <t>Base Erection Rate (banded, ‰)</t>
  </si>
  <si>
    <t>1st-month Code1 + 0.10/0.05/0.025 bands per Swiss Re month structure.</t>
  </si>
  <si>
    <t>B2</t>
  </si>
  <si>
    <t>Minimum Rate (floor, ‰)</t>
  </si>
  <si>
    <t>Erection rate cannot fall below this Swiss Re floor.</t>
  </si>
  <si>
    <t>B3</t>
  </si>
  <si>
    <t>Hot Testing / Commissioning included?</t>
  </si>
  <si>
    <t>First-month testing rate (Rate-SubGroup col F) if Yes.</t>
  </si>
  <si>
    <t>B4</t>
  </si>
  <si>
    <t>Effective Erection Rate (‰)</t>
  </si>
  <si>
    <t>MAX(banded base, minimum-rate floor).</t>
  </si>
  <si>
    <t>B5</t>
  </si>
  <si>
    <t>Reference Rate (‰)</t>
  </si>
  <si>
    <t>Basis for Manufacturer's-Risk &amp; maintenance loadings (col G).</t>
  </si>
  <si>
    <t>C   EARTHQUAKE LOADING  (Swiss Re real method: E = E1 × E2, Table E monthly rate × project duration)</t>
  </si>
  <si>
    <t>Helper calculations (not part of visible rate build-up):</t>
  </si>
  <si>
    <t>EQ1</t>
  </si>
  <si>
    <t>Plant Sensitivity Class (Table E1, 1–4)</t>
  </si>
  <si>
    <t>Select 1-4 per Rate-EQ-SwissRe sheet Table E1 (equipment sensitivity). Returns factor E1.</t>
  </si>
  <si>
    <t>EQ2</t>
  </si>
  <si>
    <t>Structure Factor Class (Table E2, 1–6)</t>
  </si>
  <si>
    <t>Select 1-6 per Rate-EQ-SwissRe sheet Table E2 (building/structure resistance). Returns factor E2.</t>
  </si>
  <si>
    <t>EQ3</t>
  </si>
  <si>
    <t>Combined Sensitivity Factor  E = E1 × E2</t>
  </si>
  <si>
    <t>Real Swiss Re combined factor (was hardcoded/deprecated before this revision).</t>
  </si>
  <si>
    <t>E rounded UP to nearest Table E value (conservative assumption — see Rate-EQ-SwissRe notes)</t>
  </si>
  <si>
    <t>EQ4</t>
  </si>
  <si>
    <t>Swiss Re Zone (derived from city hazard level, Standard 2800)</t>
  </si>
  <si>
    <t>Monthly earthquake rate (‰) from Table E, for rounded E and derived Zone</t>
  </si>
  <si>
    <t>EQ5</t>
  </si>
  <si>
    <t>Earthquake Exclusion clause?</t>
  </si>
  <si>
    <t>If Yes, EQ loading is forced to 0 (and must be excluded from TPL too).</t>
  </si>
  <si>
    <t>EQ6</t>
  </si>
  <si>
    <t>Earthquake Loading (‰)</t>
  </si>
  <si>
    <t>Loading = monthly rate from Table E (G19) x project duration in months (C6, erection+testing). Real Swiss Re monthly-accrual method - replaces the old flat (rate x (loading factor - 1)) formula. Section I rate-summary structure (D59:D63) is unchanged.</t>
  </si>
  <si>
    <t>D   EXISTING PROPERTY  (premium on its own limit per event)</t>
  </si>
  <si>
    <t>D1</t>
  </si>
  <si>
    <t>D2</t>
  </si>
  <si>
    <t>Enter limit per event in D23. Premium = rate × limit / 1000.</t>
  </si>
  <si>
    <t>E   EXTENSIONS — RATE LOADINGS  (‰ added to the MD rate, on contract value)</t>
  </si>
  <si>
    <t>▸</t>
  </si>
  <si>
    <t>Enter 0 (or “No”) to exclude an item. Loadings here are ‰ on the Sum Insured.</t>
  </si>
  <si>
    <t>E1</t>
  </si>
  <si>
    <t>Manufacturer's Risk — Material/Workmanship (6.1.1): test/maint months</t>
  </si>
  <si>
    <t>5% (1–3 mo) / 7.5% (4–6) / 10% (7+) of Ref.Rate.</t>
  </si>
  <si>
    <t>E2</t>
  </si>
  <si>
    <t>Manufacturer's Risk — Defective Design (6.1.2): test/maint months</t>
  </si>
  <si>
    <t>Same scale as 6.1.1, on Ref.Rate.</t>
  </si>
  <si>
    <t>E3</t>
  </si>
  <si>
    <t>Maintenance industry class</t>
  </si>
  <si>
    <t>Light vs power/chemical/heavy — sets maintenance % scale.</t>
  </si>
  <si>
    <t>E4</t>
  </si>
  <si>
    <t>Visits Maintenance (6.2.1): maintenance months</t>
  </si>
  <si>
    <t>5% light / 7.5% heavy of Ref.Rate per 12-mo period (pro-rata).</t>
  </si>
  <si>
    <t>E5</t>
  </si>
  <si>
    <t>Extended Maintenance (6.2.2): maintenance months</t>
  </si>
  <si>
    <t>7.5% light / 12.5% heavy of Ref.Rate per 12-mo period (pro-rata).</t>
  </si>
  <si>
    <t>E6</t>
  </si>
  <si>
    <t>Expediting Costs (5.3): % of works rate</t>
  </si>
  <si>
    <t>5–10% of the erection (works) rate. Enter as decimal, e.g. 0.075.</t>
  </si>
  <si>
    <t>E7</t>
  </si>
  <si>
    <t>Riot and Strike (6.4): Fire Dept / FOC riot-and-strike rate (‰)</t>
  </si>
  <si>
    <t>This is an EXTERNAL rate — Swiss Re does not tabulate it. Obtain the local Fire Department's (or FOC London-style) riot-and-strike rate for the property/plant, then enter it here as a ‰ figure. Excludes civil commotion unless separately agreed with the Reinsurer.</t>
  </si>
  <si>
    <t>E8</t>
  </si>
  <si>
    <t>Riot and Strike — period basis</t>
  </si>
  <si>
    <t>Testing/Commissioning period = 100% of the rate above (confirmed, EAR Rating Guide Sec.9 item 6.4). Erection period = 50% shown here, but this figure could NOT be verified in the uploaded Swiss Re source after two independent searches — flagged as insufficient evidence; confirm with reinsurer before relying on it.</t>
  </si>
  <si>
    <t>E9</t>
  </si>
  <si>
    <t>Rate-loadings sub-total (‰)</t>
  </si>
  <si>
    <t>Sum of the loadings above.</t>
  </si>
  <si>
    <t>F   EXTENSIONS — PREMIUM ADD-ONS  (c-units, each on its own basis)</t>
  </si>
  <si>
    <t>F1</t>
  </si>
  <si>
    <t>5‰ &lt;2000 mi, up to 20‰ longer. Premium = rate × limit / 1000.</t>
  </si>
  <si>
    <t>F2</t>
  </si>
  <si>
    <t>Min 0.1‰/month on value stored.</t>
  </si>
  <si>
    <t>F3</t>
  </si>
  <si>
    <t>Min 1‰ on total value transported (marine specialist rate).</t>
  </si>
  <si>
    <t>F4</t>
  </si>
  <si>
    <t>F5</t>
  </si>
  <si>
    <t>Existing property + air freight + storage + transit + debris.</t>
  </si>
  <si>
    <t>G   THIRD PARTY LIABILITY  (calculated once, from Rate-TPL)</t>
  </si>
  <si>
    <t>G1</t>
  </si>
  <si>
    <t>TPL — Technical Risk Category</t>
  </si>
  <si>
    <t>I Light / II Medium / III Heavy (Rate-TPL B.1).</t>
  </si>
  <si>
    <t>G2</t>
  </si>
  <si>
    <t>TPL — Surroundings Category</t>
  </si>
  <si>
    <t>a isolated / b outer town / c dense-urban.</t>
  </si>
  <si>
    <t>G3</t>
  </si>
  <si>
    <t>G4</t>
  </si>
  <si>
    <t>TPL — Base Rate (‰)</t>
  </si>
  <si>
    <t>Rate at 2-mio base, by category × surroundings.</t>
  </si>
  <si>
    <t>G5</t>
  </si>
  <si>
    <t>TPL — Limit Adaptation Factor</t>
  </si>
  <si>
    <t>Factor for the chosen total limit (Rate-TPL B.2).</t>
  </si>
  <si>
    <t>G6</t>
  </si>
  <si>
    <t>TPL — Effective Rate (‰)</t>
  </si>
  <si>
    <t>Base rate × limit factor.</t>
  </si>
  <si>
    <t>G7</t>
  </si>
  <si>
    <t>Cross Liability (6.3) included?</t>
  </si>
  <si>
    <t>35% surcharge on TPL premium if Yes.</t>
  </si>
  <si>
    <t>G8</t>
  </si>
  <si>
    <t>TPL rate × contract value (SI); floored at the category/surroundings minimum.</t>
  </si>
  <si>
    <t>G9</t>
  </si>
  <si>
    <t>35% of TPL premium, only if selected (G7).</t>
  </si>
  <si>
    <t>G10</t>
  </si>
  <si>
    <t>TPL premium + cross-liability.</t>
  </si>
  <si>
    <t>I   RATE SUMMARY  (MD technical rate, ‰)</t>
  </si>
  <si>
    <t>Component</t>
  </si>
  <si>
    <t>Rate (‰)</t>
  </si>
  <si>
    <t>Notes</t>
  </si>
  <si>
    <t>S1</t>
  </si>
  <si>
    <t>Effective Erection Rate</t>
  </si>
  <si>
    <t>Base or floor, whichever higher</t>
  </si>
  <si>
    <t>S2</t>
  </si>
  <si>
    <t>Hot Testing / Commissioning</t>
  </si>
  <si>
    <t>First-month testing rate</t>
  </si>
  <si>
    <t>S3</t>
  </si>
  <si>
    <t>Earthquake Loading</t>
  </si>
  <si>
    <t>E1×E2 method</t>
  </si>
  <si>
    <t>S4</t>
  </si>
  <si>
    <t>Extension Rate-Loadings</t>
  </si>
  <si>
    <t>MR + maintenance + expediting</t>
  </si>
  <si>
    <t>S5</t>
  </si>
  <si>
    <t>MD TECHNICAL RATE (‰)</t>
  </si>
  <si>
    <t>TPL is NOT in this rate — it is a separate premium (section J).</t>
  </si>
  <si>
    <t>J   PREMIUM CALCULATION  (c-units; 1 c-unit ≈ 1 USD @1997)</t>
  </si>
  <si>
    <t>P1</t>
  </si>
  <si>
    <t>Total contract / erection value.</t>
  </si>
  <si>
    <t>P2</t>
  </si>
  <si>
    <t>Underwriting Adjustment (decimal; − = discount)</t>
  </si>
  <si>
    <t>e.g. -0.10 = 10% discount, +0.05 = 5% loading.</t>
  </si>
  <si>
    <t>P3</t>
  </si>
  <si>
    <t>MD Office Rate (‰)</t>
  </si>
  <si>
    <t>MD technical rate × (1 + UW adjustment).</t>
  </si>
  <si>
    <t>P4</t>
  </si>
  <si>
    <t>Order-of-magnitude floor (general excess proxy — not an authoritative Swiss Re minimum).</t>
  </si>
  <si>
    <t>P5</t>
  </si>
  <si>
    <t>MAX(SI × office rate / 1000, indicative minimum).</t>
  </si>
  <si>
    <t>P6</t>
  </si>
  <si>
    <t>From section F (separate-basis covers).</t>
  </si>
  <si>
    <t>P7</t>
  </si>
  <si>
    <t>From section G (incl. cross-liability).</t>
  </si>
  <si>
    <t>P8</t>
  </si>
  <si>
    <t>MD + add-ons + TPL — the office premium before tax.</t>
  </si>
  <si>
    <t>P9</t>
  </si>
  <si>
    <t>Brokerage / Commission (decimal)</t>
  </si>
  <si>
    <t>Paid out of gross; insurer receives the remainder.</t>
  </si>
  <si>
    <t>P10</t>
  </si>
  <si>
    <t>Gross × (1 − brokerage).</t>
  </si>
  <si>
    <t>P11</t>
  </si>
  <si>
    <t>Insurance Tax / Stamp Duty (decimal)</t>
  </si>
  <si>
    <t>Iran premium tax (currently 9%).</t>
  </si>
  <si>
    <t>P12</t>
  </si>
  <si>
    <t>Gross × (1 + tax). Convert to local currency at current FX.</t>
  </si>
  <si>
    <t>K   VALIDATION CHECKS</t>
  </si>
  <si>
    <t>V1</t>
  </si>
  <si>
    <t>Sub-group resolved to a real rate</t>
  </si>
  <si>
    <t>V2</t>
  </si>
  <si>
    <t>Effective rate ≥ minimum floor</t>
  </si>
  <si>
    <t>V3</t>
  </si>
  <si>
    <t>Duration within 1–120 months</t>
  </si>
  <si>
    <t>V4</t>
  </si>
  <si>
    <t>EQ exclusion zeroes EQ loading</t>
  </si>
  <si>
    <t>V5</t>
  </si>
  <si>
    <t>TPL inputs valid</t>
  </si>
  <si>
    <t>V6</t>
  </si>
  <si>
    <t>Sum Insured entered</t>
  </si>
  <si>
    <t>Code1</t>
  </si>
  <si>
    <t>Code2</t>
  </si>
  <si>
    <t>Code3</t>
  </si>
  <si>
    <t>Code4</t>
  </si>
  <si>
    <t>Hot_test</t>
  </si>
  <si>
    <t>Ref_Rate</t>
  </si>
  <si>
    <t>Min.
Rate</t>
  </si>
  <si>
    <t>Gen. Excess
(c-units)
All Events</t>
  </si>
  <si>
    <t>AoG / Test /
Maint. Excess
(c-units)</t>
  </si>
  <si>
    <t>Gen. Excess (﷼)</t>
  </si>
  <si>
    <t>AoG/Test/Maint Excess (﷼)</t>
  </si>
  <si>
    <t>_groups</t>
  </si>
  <si>
    <t>01.1.1 Boilerhouse installations — natural circulation, ≤250 t/h (boiler + superheaters, fans, water treatment, feed pumps)</t>
  </si>
  <si>
    <t>150/MW (min 10,000)</t>
  </si>
  <si>
    <t>01 — Public Utilities</t>
  </si>
  <si>
    <t>01.1.1 Boilerhouse installations comprising boiler with all auxiliaries (superheaters, fans, feed pumps, water treatment) - natural circulat</t>
  </si>
  <si>
    <t>150/MW</t>
  </si>
  <si>
    <t>02 — Industrial Plant Utilities</t>
  </si>
  <si>
    <t>01.1.2 Turbogenerating sets — turbine, generator, cooling system, governor, directly connected auxiliaries — up to 50 MW</t>
  </si>
  <si>
    <t>03 — Mining Industry</t>
  </si>
  <si>
    <t>01.1.2 Turbogenerating sets (turbine, generator, cooling system, governor, directly connected auxiliaries) — 50 to 125 MW</t>
  </si>
  <si>
    <t>250/MW (min 25,000)</t>
  </si>
  <si>
    <t>04 — Chemical Industry</t>
  </si>
  <si>
    <t>01.1.2 Turbogenerating sets (turbine, generator, cooling system, governor, directly connected auxiliaries) — 125 to 250 MW</t>
  </si>
  <si>
    <t>250/MW</t>
  </si>
  <si>
    <t>01.1.2 Turbogenerating sets (turbine, generator, cooling system, governor, directly connected auxiliaries) — 250 to 450 MW</t>
  </si>
  <si>
    <t>06 — Building Industry</t>
  </si>
  <si>
    <t>01.1.3 Water-systems cycle comprising condenser, feed heater piping, pumps etc.</t>
  </si>
  <si>
    <t>07 — Timber &amp; Wood</t>
  </si>
  <si>
    <t>01.1.4 Electric equipment, control and measuring installations incl. station transformers</t>
  </si>
  <si>
    <t>08 — Pulp &amp; Paper</t>
  </si>
  <si>
    <t>01.1.5 Balance of plant comprising: ash-handling, off-site tanks</t>
  </si>
  <si>
    <t>09 — Printing &amp; Packing</t>
  </si>
  <si>
    <t>01.2.1 Gas turbine power plants — Gasturbo generating sets (turbine, compressor, generator, starting device, all auxiliaries) — up to 10 MW</t>
  </si>
  <si>
    <t>10 — Leather Industry</t>
  </si>
  <si>
    <t>01.2.1 Gasturbo generating sets (turbine, compressor, generator, starting device, all auxiliaries connected to foundation block) — 10 to 20</t>
  </si>
  <si>
    <t>750/MW (min 10,000)</t>
  </si>
  <si>
    <t>11 — Textile Industry</t>
  </si>
  <si>
    <t>01.2.1 Gasturbo generating sets (turbine, compressor, generator, starting device, all auxiliaries connected to foundation block) — 20 to 40</t>
  </si>
  <si>
    <t>750/MW</t>
  </si>
  <si>
    <t>12 — Plastic &amp; Rubber</t>
  </si>
  <si>
    <t>01.2.2 Electrical equipment control/measuring: air inlet/outlet, filters, piping, pumps incl. station transformers</t>
  </si>
  <si>
    <t>13 — Food (Vegetable)</t>
  </si>
  <si>
    <t>01.2.3 Balance of plant off-site installations: tanks, gas receiving and/or pressure reducing plant etc.</t>
  </si>
  <si>
    <t>14 — Food (Animal)</t>
  </si>
  <si>
    <t>01.3.1 Diesel generator sets — diesel engine, starting device, generator and all auxiliaries attached — engines with speed above 500 rpm</t>
  </si>
  <si>
    <t>1000/MW (min 5,000)</t>
  </si>
  <si>
    <t>15 — Food Refrigeration</t>
  </si>
  <si>
    <t>01.3.1 Diesel Generator sets (diesel engine, starting device, generator, all attached auxiliaries) - engines with speed above 500 rpm — engi</t>
  </si>
  <si>
    <t>1000/MW</t>
  </si>
  <si>
    <t>16 — Transport &amp; Warehouses</t>
  </si>
  <si>
    <t>01.3.2 Electrical equipment control/measuring; air inlet/outlet, filters, piping, pumps</t>
  </si>
  <si>
    <t>17 — Public Services</t>
  </si>
  <si>
    <t>01.3.3 Balance of plant comprising off-site installations, tanks, etc.</t>
  </si>
  <si>
    <t>18 — Hospitals &amp; Hotels</t>
  </si>
  <si>
    <t>01.4.1 Turbinehouse installations - Pelton turbine, up to 100 MW</t>
  </si>
  <si>
    <t>19 — Farming &amp; Agriculture</t>
  </si>
  <si>
    <t>01.4.1 Turbinehouse installations - Pelton turbine — Pelton, 100 to 200 MW</t>
  </si>
  <si>
    <t>100/MW</t>
  </si>
  <si>
    <t>01.4.1 Turbinehouse installations - Pelton turbine — Francis turbine, up to 100 MW</t>
  </si>
  <si>
    <t>01.4.1 Turbinehouse installations - Pelton turbine — Francis, 100 to 200 MW</t>
  </si>
  <si>
    <t>01.4.1 Turbinehouse installations - Pelton turbine — Kaplan turbine, up to 100 MW</t>
  </si>
  <si>
    <t>01.4.1 Turbinehouse installations - Pelton turbine — Kaplan, 100 to 200 MW</t>
  </si>
  <si>
    <t>01.4.1 Turbinehouse installations - Pelton turbine — Other types (tubular/axial flow reaction turbines), up to 25 MW</t>
  </si>
  <si>
    <t>01.4.1 Turbinehouse installations - Pelton turbine — Other types, 25 to 50 MW</t>
  </si>
  <si>
    <t>01.4.2 Pumping house installations - Horizontal pumping sets, up to 25 MW</t>
  </si>
  <si>
    <t>01.4.2 Pumping house installations - Horizontal pumping sets — Horizontal, 25 to 50 MW</t>
  </si>
  <si>
    <t>01.4.2 Pumping house installations - Horizontal pumping sets — Vertical pumping sets, up to 25 MW</t>
  </si>
  <si>
    <t>01.4.2 Pumping house installations - Horizontal pumping sets — Vertical, 25 to 50 MW</t>
  </si>
  <si>
    <t>01.4.3 Electrical equipment and measuring installations, station transformers, pressurised air control systems, etc.</t>
  </si>
  <si>
    <t>01.4.4 Water intake and off-site installations: penstocks, gates, trash racks, weir installations and the like</t>
  </si>
  <si>
    <t>01.5.1 Transformer stations — power transformer, phase compensators, cooling control, capacitors, rectifier banks — 30 to 150 MVA</t>
  </si>
  <si>
    <t>01.5.1 Transformer stations — power transformer, phase compensators, cooling control, capacitors, rectifier banks — 150 to 300 MVA</t>
  </si>
  <si>
    <t>01.5.1 Transformer stations — power transformer, phase compensators, cooling control, capacitors, rectifier banks — above 300 MVA</t>
  </si>
  <si>
    <t>01.5.1 Transformer Stations (power transformer, phase compensators, cooling/control/protection auxiliaries, capacitors, rectifier banks) - P</t>
  </si>
  <si>
    <t>01.5.2 Switchgear installations (circuit breakers, control/protection equipment, line feeders) up to 60 kV</t>
  </si>
  <si>
    <t>01.5.2 Switchgear installations (circuit breakers, control/protection equipment, line feeders) — 60 kV to 500 kV</t>
  </si>
  <si>
    <t>01.5.2 Switchgear installations (circuit breakers, control/protection equipment, line feeders) — above 500 kV</t>
  </si>
  <si>
    <t>01.5.3 Overhead transmission lines incl. tower, insulators, etc. up to 60 kV</t>
  </si>
  <si>
    <t>01.5.3 Overhead transmission lines incl. tower, insulators, etc. — 60 kV to 220 kV</t>
  </si>
  <si>
    <t>01.5.3 Overhead transmission lines incl. tower, insulators, etc. — 220 kV to 750 kV</t>
  </si>
  <si>
    <t>01.5.4 Underground cables incl. all auxiliaries but excl. civil works - Classical insulated and oil filled cables</t>
  </si>
  <si>
    <t>01.5.4 Underground cables incl. all auxiliaries but excl. civil works - Classical insulated and oil filled cables — Gas filled cables and al</t>
  </si>
  <si>
    <t>01.6.1 Waterworks, water purification installations (baths, sewers, desalination; public utilities)</t>
  </si>
  <si>
    <t>01.6.2 Desalination plants (excl. power plants, seawater/treated-water pumping stations) - Thermal processes: MSF/VTE/HFF</t>
  </si>
  <si>
    <t>01.6.2 Desalination plants (excl. power plants, seawater/treated-water pumping stations) - Thermal processes: MSF/VTE/HFF — Mechanical/elect</t>
  </si>
  <si>
    <t>01.6.3 Sewage effluent treatment plants complete, mainly pumps/conveyors/filters/pipes etc. but excl. civil works</t>
  </si>
  <si>
    <t>01.6.4 Off-site installations: well installations, main/booster water pumps, storage tanks but excl. civil works (trenching)</t>
  </si>
  <si>
    <t>01.7.1 Incineration and district heating plants complete but excl. turbine generating sets</t>
  </si>
  <si>
    <t>01.7.2 Composting plants mainly comprising mills, cranes, mixers, conveyors, fermentation tanks, etc.</t>
  </si>
  <si>
    <t>01.7.3 Scrap handling (shredder) plants</t>
  </si>
  <si>
    <t>01.8.1 Radio and television installations (transmitters, relaying stations, re-broadcasting transmitters, antennas; public utilities)</t>
  </si>
  <si>
    <t>01.8.2 Telephone installations - Exchange equipment, control units etc., short-wave transmitters and receivers</t>
  </si>
  <si>
    <t>01.8.2 Telephone installations - Exchange equipment, control units etc., short-wave transmitters and receivers — Telephone networks (cabling</t>
  </si>
  <si>
    <t>01.8.2 Telephone installations - Exchange equipment, control units etc., short-wave transmitters and receivers — Telephone networks: undergr</t>
  </si>
  <si>
    <t>01.8.2 Telephone installations - Exchange equipment, control units etc., short-wave transmitters and receivers — Telephone networks: special</t>
  </si>
  <si>
    <t>02.1 Boilers, steam generation installations — incl. all auxiliaries, ≤250 t/h</t>
  </si>
  <si>
    <t>02.2 Steam turbine generating sets, complete incl. water steam cycle, control/measuring equipment - up to 25 MW</t>
  </si>
  <si>
    <t>02.2 Steam turbine generating sets, complete incl. water steam cycle, control/measuring equipment — 25 to 50 MW</t>
  </si>
  <si>
    <t>02.3 Gas turbine sets incl. all auxiliaries - up to 10 MW</t>
  </si>
  <si>
    <t>02.3 Gas turbine sets incl. all auxiliaries — 10 MW to 25 MW</t>
  </si>
  <si>
    <t>02.4 Diesel generating sets complete up to 25 MW</t>
  </si>
  <si>
    <t>02.5 Electrical installations, sub-stations, transformers, switchyard and the like</t>
  </si>
  <si>
    <t>02.6 Water supply installations, mainly pumps, valves and piping but excl. civil works/trenching</t>
  </si>
  <si>
    <t>02.7 Plant compressed air supply installations (utilities in industrial plants)</t>
  </si>
  <si>
    <t>02.8 Air conditioning complete: compressor, air conditioners, humidifiers, heater, ozonizer and conduits</t>
  </si>
  <si>
    <t>02.9 Gas installations, mainly receiving station, de-compression devices, scrubbers, pipe works and the like</t>
  </si>
  <si>
    <t>02.10 Environment protection plants, mainly waste water/effluent treatment and air/gas filter installations</t>
  </si>
  <si>
    <t>03.1 Underground mining installations (mainly conveyors, hoists, ventilating, pumping devices)</t>
  </si>
  <si>
    <t>03.2 Dredgers, production machines (mining industry)</t>
  </si>
  <si>
    <t>03.3 Open cut mining installations — incl. ore improving and loading facilities (breakers, crushers, mills, conveyors, weighing, washing equipment)</t>
  </si>
  <si>
    <t>03.4 Ore pre-processing installations of non-ferrous products, alumina (excl. electrolysis) copper, tin and comparable installations; kilns,</t>
  </si>
  <si>
    <t>04.3.1 Simple classical refinery processes (atmospheric/vacuum distillation, hydrodesulph., residue conversion)</t>
  </si>
  <si>
    <t>04.3.2 More sophisticated refinery processes (distillate hydro-treating, hydro-cracking, methane steam reforming, pyrolysis)</t>
  </si>
  <si>
    <t>04.3.3 Lubrificating oil plants</t>
  </si>
  <si>
    <t>04.3.4 Installation for recovery of non hydro-carbon by-products (sulphur, hydrogen, carbons, acids)</t>
  </si>
  <si>
    <t>04.3.6 Auxiliary equipment such as: piping, effluent plant, water treatment, structures and the like but excluding storage tanks (storage ta</t>
  </si>
  <si>
    <t>04.4.1 Acid plants and comparable risks such as: sulphuric acid, nitric acid, hydrochloric acid and chloride electrolysis plants and the lik</t>
  </si>
  <si>
    <t>04.4.2 Air liquifaction and fractioning plants</t>
  </si>
  <si>
    <t>04.4.3 Processes for the production of basic material for mineral pigments, colouring substances and the like</t>
  </si>
  <si>
    <t>04.4.4 Processes for the production of basic pharmaceutical substances and comparable basic material</t>
  </si>
  <si>
    <t>04.4.5 Auxiliary equipment such as piping, lab. equipment, effluent plant and the like</t>
  </si>
  <si>
    <t>04.5.3 Phosphate fertilizer plants, super-phosphate</t>
  </si>
  <si>
    <t>04.5.4 Fertilizer plants — potash (chemical industry)</t>
  </si>
  <si>
    <t>04.5.5 Multi-nutritive-substance fertilizers, i.e. mixing of N-P-K products</t>
  </si>
  <si>
    <t>04.5.6 Auxiliaries such as piping, effluent plant, cabling and the like</t>
  </si>
  <si>
    <t>04.6.1 Storage, transport and loading facilities — tank farms (incl. piping, pumps and measuring equipment; excl. civil works)</t>
  </si>
  <si>
    <t>04.6.3 Pumping and compressor stations in pipelines incl. auxiliaries - turbine driven</t>
  </si>
  <si>
    <t>04.6.3 Pumping and compressor stations in pipelines incl. auxiliaries - turbine driven — motor driven</t>
  </si>
  <si>
    <t>04.6.4 Loading facilities but excluding off-shore facilities such as buoy moorings</t>
  </si>
  <si>
    <t>05.1 Basic metal extraction and processing - Direct reduction plants (Midrex) sponge iron production complete with all auxiliaries</t>
  </si>
  <si>
    <t>05.1 Basic metal extraction and processing - Direct reduction plants (Midrex) sponge iron production complete with all auxiliaries — Blast f</t>
  </si>
  <si>
    <t>05.2 Steel works — foundries, rolling mills and comparable processes (conversion of pig iron into steel)</t>
  </si>
  <si>
    <t>05.3 Non-ferrous metal processing (aluminium, copper electrolysis, refining and comparable risks)</t>
  </si>
  <si>
    <t>05.4 Heavy engineering fabrication plants (shipyards, boiler shops, forges and comparable risks)</t>
  </si>
  <si>
    <t>05.5 Medium and light type of engineering (machine shops, metal fabrication, etc.)</t>
  </si>
  <si>
    <t>05.6 Galvanising plants and comparable risks (surface finishing)</t>
  </si>
  <si>
    <t>06.1 Quarries, gravel pits complete mainly comprising crushers, mills, conveyors, sorters and weighing installations, etc. but excluding mob</t>
  </si>
  <si>
    <t>06.2 Cement, chalk and gypsum works — complete, excl. quarry installations</t>
  </si>
  <si>
    <t>06.3 Artificial stone works, brickyards, prefabricated building component works, ceramic works and comparable plants</t>
  </si>
  <si>
    <t>06.4 Glass works - Plate glass</t>
  </si>
  <si>
    <t>06.4 Glass works - Other types</t>
  </si>
  <si>
    <t>07.1 Saw mills — incl. installations for seasoning of timber</t>
  </si>
  <si>
    <t>07.2 Wood processing plants such as: Veneer, laminated board, plywood, wood chips board and comparable risks</t>
  </si>
  <si>
    <t>07.3 Furniture factories and comparable plants</t>
  </si>
  <si>
    <t>08.1 Wood pulp and cellulose factories and comparable plants but excluding paper machine section</t>
  </si>
  <si>
    <t>08.2 Paper and cardboard factories — incl. all auxiliaries, excl. pulp production facilities</t>
  </si>
  <si>
    <t>09.1 Printing shops and bookbinding shops (incl. newspaper printing; printing and packing material industries)</t>
  </si>
  <si>
    <t>09.2 Stationery factories and factories for paper and cardboard-packing material</t>
  </si>
  <si>
    <t>10.1 Tanneries (leather industry)</t>
  </si>
  <si>
    <t>10.2 Leather goods factories (shoes, suitcases, bags, etc.)</t>
  </si>
  <si>
    <t>11.1 Raw material processing plants (processing of wool, silk, flax, cotton and the like)</t>
  </si>
  <si>
    <t>11.2 Production of artificial fibres (feedstock, caprolactum, cellulose, etc.)</t>
  </si>
  <si>
    <t>11.3 Textile fabrication (spinning, weaving, knitting mills)</t>
  </si>
  <si>
    <t>11.4 Finishing plants (dyeing, bleaching and printing processes)</t>
  </si>
  <si>
    <t>11.5 Ready-made clothes factories</t>
  </si>
  <si>
    <t>11.6 Textures for technical application (fabrication of carpets, linings, ropes, etc.)</t>
  </si>
  <si>
    <t>11.7 Industrial laundries, dry cleaners</t>
  </si>
  <si>
    <t>12.1 Plastic &amp; rubber products factories (mainly cutters, mills, mixers, extruders, plastic-blowing machines)</t>
  </si>
  <si>
    <t>12.2 Tyre factories</t>
  </si>
  <si>
    <t>12.3 Linoleum factories</t>
  </si>
  <si>
    <t>12.4 Cable factories</t>
  </si>
  <si>
    <t>12.6 Production of pharmaceuticals and comparable plants</t>
  </si>
  <si>
    <t>13.1 Grain &amp; fodder mills, malthouses and comparable risks</t>
  </si>
  <si>
    <t>13.2 Bakeries, biscuit and candy products factories</t>
  </si>
  <si>
    <t>13.3 Cocoa and chocolate factories</t>
  </si>
  <si>
    <t>13.4 Breweries, distilleries, soft drinks factories</t>
  </si>
  <si>
    <t>13.5 Tobacco processing plants</t>
  </si>
  <si>
    <t>13.6 Edible oil factories - Solvent extraction</t>
  </si>
  <si>
    <t>13.6 Edible oil factories - Mechanical extraction</t>
  </si>
  <si>
    <t>13.7 Sugar factories but excluding power plant - Cane sugar</t>
  </si>
  <si>
    <t>13.7 Sugar factories but excluding power plant - Beet sugar</t>
  </si>
  <si>
    <t>14.1 Dairies and comparable installations (ice-cream products; food industry, animal origin)</t>
  </si>
  <si>
    <t>14.2 Slaughterhouses, meat processing factories, butcheries</t>
  </si>
  <si>
    <t>14.3 Fishmeal factories and comparable risks</t>
  </si>
  <si>
    <t>15.1 Canneries (meat, fish, vegetables)</t>
  </si>
  <si>
    <t>15.2 Cold stores (cold storage, deep freezing, controlled atmosphere; food refrigeration, canneries, cold stores)</t>
  </si>
  <si>
    <t>16.1 Cableways, skilifts and comparable installations</t>
  </si>
  <si>
    <t>16.2 Cranes, bridge cranes (transport systems, ports, warehouses)</t>
  </si>
  <si>
    <t>16.3 Lifts, hoists, lifting equipment, racks, conveying equipment, shelf-stackers and comparable installations</t>
  </si>
  <si>
    <t>16.4 Tank farms incl. piping, pumps and measuring equipment but excluding civil works</t>
  </si>
  <si>
    <t>17.1 Water treatment, water circulating, heating facilities for swimming pools</t>
  </si>
  <si>
    <t>17.2 Ice rinks complete including compressors but excluding civil works</t>
  </si>
  <si>
    <t>17.3 Floodlight installations and other facilities for sports stadiums (public services: stadiums, theatres, cinemas, entertainment)</t>
  </si>
  <si>
    <t>18.1 General technical installations (heating, air conditioning, lifts, electrical and sanitary installations) — Hospitals, Hotels, Department Stores, Schools</t>
  </si>
  <si>
    <t>18.2 Medical and laboratory equipment, projection and photographic equipment — Hospitals, Hotels, Department Stores, Schools</t>
  </si>
  <si>
    <t>19.1 Irrigation systems complete (well installations with pumps, pivoting and/or fixed irrigation piping; excl. civil works and power plants)</t>
  </si>
  <si>
    <t>19.2 General farm installations such as silos, storage tanks, packing and weighing machines, radio-communication equipment, maintenance shop</t>
  </si>
  <si>
    <t>19.3 Poultry farms (rearing hatcheries) and similar installations</t>
  </si>
  <si>
    <t>EAR 19.3 · p.184</t>
  </si>
  <si>
    <t>19.3 Poultry farms (rearing hatcheries) and similar installations | Section value %=NS | Min.Rate=3.30 | Erection: 1st month=1.55, 2-12=0.125, 13-24=0.075, 25-=0.05 | Testing: 1st month=0.55, fol.=0.425 | Ref.Rate=3 | XS general=1,000, AOG/Test/Maint=2,500</t>
  </si>
  <si>
    <t>Clause No.</t>
  </si>
  <si>
    <t>Clause / Endorsement Name</t>
  </si>
  <si>
    <t>Type</t>
  </si>
  <si>
    <t>Rate Impact</t>
  </si>
  <si>
    <t>Basis of
Impact</t>
  </si>
  <si>
    <t>EAR Ref. (Page)</t>
  </si>
  <si>
    <t>Description &amp; Notes</t>
  </si>
  <si>
    <t>_clause_list</t>
  </si>
  <si>
    <t>1.21.01</t>
  </si>
  <si>
    <t>Expediting Costs</t>
  </si>
  <si>
    <t>Extension</t>
  </si>
  <si>
    <t>5-10% of works rate</t>
  </si>
  <si>
    <t>On total SI</t>
  </si>
  <si>
    <t>p.35/109</t>
  </si>
  <si>
    <t>Covers extra charges for overtime, night-work, public holidays, express freight (excl. airfreight). Limit per event ≈ 20% of expected average claim.</t>
  </si>
  <si>
    <t>1.21.02</t>
  </si>
  <si>
    <t>Cross Liability</t>
  </si>
  <si>
    <t>35% of total TPL prem</t>
  </si>
  <si>
    <t>On TPL prem</t>
  </si>
  <si>
    <t>p.42/47</t>
  </si>
  <si>
    <t>Allows sub-contractors to claim against each other under same policy. Min 15% if no plant/storage exposure covered separately.</t>
  </si>
  <si>
    <t>1.21.03</t>
  </si>
  <si>
    <t>Riot and Strike</t>
  </si>
  <si>
    <t>50% of fire R&amp;S rate</t>
  </si>
  <si>
    <t>Erection period</t>
  </si>
  <si>
    <t>p.42/50</t>
  </si>
  <si>
    <t>100% during commissioning/testing period (confirmed, EAR Rating Guide Sec.9 item 6.4). Erection-period % ("50%" previously shown here) could NOT be verified against the uploaded source after two independent searches — flagged as insufficient evidence; use with caution / confirm with reinsurer guideline before relying on it.</t>
  </si>
  <si>
    <t>1.21.04</t>
  </si>
  <si>
    <t>Visits Maintenance</t>
  </si>
  <si>
    <t>5-7.5% of Ref.Rate</t>
  </si>
  <si>
    <t>Per month</t>
  </si>
  <si>
    <t>p.41/52</t>
  </si>
  <si>
    <t>5% light industries; 7.5% power plants/chemical/heavy. Cover restricted to damage occurring during contractor site visits.</t>
  </si>
  <si>
    <t>1.21.05</t>
  </si>
  <si>
    <t>Extended Maintenance</t>
  </si>
  <si>
    <t>7.5-12.5% of Ref.Rate</t>
  </si>
  <si>
    <t>p.41/53</t>
  </si>
  <si>
    <t>7.5% light; 12.5% heavy. Full maintenance cover but period usually ≤12 months; loading required for extensions &gt;12 months.</t>
  </si>
  <si>
    <t>1.21.06</t>
  </si>
  <si>
    <t>[Reserved / Not printed]</t>
  </si>
  <si>
    <t>N/A</t>
  </si>
  <si>
    <t>—</t>
  </si>
  <si>
    <t>p.45</t>
  </si>
  <si>
    <t>Not printed in the guide copy available.</t>
  </si>
  <si>
    <t>Contractors' Plant &amp; Equipment</t>
  </si>
  <si>
    <t>1.21.07</t>
  </si>
  <si>
    <t>Airfreight Costs</t>
  </si>
  <si>
    <t>1.21.08</t>
  </si>
  <si>
    <t>8-10‰ p.a. (plant)
6-7‰ p.a. (equipment)</t>
  </si>
  <si>
    <t>Annual rate on SI</t>
  </si>
  <si>
    <t>p.36/54-55</t>
  </si>
  <si>
    <t>Covers mobile/stationary erection plant and scaffolding/hutments. Applies only to smaller, light-type plant. Min excess: 1,000 c-units. If period &lt;1 yr: monthly rate = 1/10 annual rate.</t>
  </si>
  <si>
    <t>Reassessment Clause — Steam &amp; Gas Turbine Generator Sets</t>
  </si>
  <si>
    <t>1.21.09</t>
  </si>
  <si>
    <t>5-20‰</t>
  </si>
  <si>
    <t>On aggregate limit</t>
  </si>
  <si>
    <t>p.35/56</t>
  </si>
  <si>
    <t>5‰ for distances &lt;2,000 miles; proportional increase to 20‰ for longer. Max aggregate limit ≈ 1% of SI.</t>
  </si>
  <si>
    <t>Special Conditions — Hydrocarbon Processing Industry</t>
  </si>
  <si>
    <t>1.21.10</t>
  </si>
  <si>
    <t>Not printed in available copy.</t>
  </si>
  <si>
    <t>Faulty Design (Defective Design)</t>
  </si>
  <si>
    <t>1.21.11</t>
  </si>
  <si>
    <t>Existing Property</t>
  </si>
  <si>
    <t>1.21.12</t>
  </si>
  <si>
    <t>Special Condition</t>
  </si>
  <si>
    <t>Underwriter right to re-rate</t>
  </si>
  <si>
    <t>On turbine SI</t>
  </si>
  <si>
    <t>p.57</t>
  </si>
  <si>
    <t>Grants insurer the right to renegotiate rates and conditions during policy period based on new information or incidents. Applies to turbo-generator sets.</t>
  </si>
  <si>
    <t>Dewatering of Excavations, Basements, Foundations, Tunnels</t>
  </si>
  <si>
    <t>1.21.13</t>
  </si>
  <si>
    <t>Loading per underwriter</t>
  </si>
  <si>
    <t>On affected SI</t>
  </si>
  <si>
    <t>p.58</t>
  </si>
  <si>
    <t>Additional sub-limits, exclusions, and conditions for petrochemical/refinery risks. Must be attached for any hydrocarbon processing risk.</t>
  </si>
  <si>
    <t>Pipeline Construction (water, oil, gas)</t>
  </si>
  <si>
    <t>1.21.14</t>
  </si>
  <si>
    <t>5/7.5/10% of Ref.Rate</t>
  </si>
  <si>
    <t>Per test/maint month</t>
  </si>
  <si>
    <t>p.41/59</t>
  </si>
  <si>
    <t>Extension 6.1.2. Covers accidental damage resulting from defective design. Rate scale: 1-3 mths=5%, 4-6 mths=7.5%, 7-12 mths=10% of Ref.Rate.</t>
  </si>
  <si>
    <t>TPL — Existing Underground Cables or Pipelines</t>
  </si>
  <si>
    <t>1.21.15</t>
  </si>
  <si>
    <t>5 or 15‰</t>
  </si>
  <si>
    <t>On limit per event</t>
  </si>
  <si>
    <t>p.34/60</t>
  </si>
  <si>
    <t>15‰ if explosion risk present; 5‰ otherwise. Limit ≤ c-units 5,000,000. See Rate-Asset sheet.</t>
  </si>
  <si>
    <t>Fire Prevention Measures</t>
  </si>
  <si>
    <t>Per underwriter</t>
  </si>
  <si>
    <t>On civil works SI</t>
  </si>
  <si>
    <t>p.61</t>
  </si>
  <si>
    <t>Covers water ingress during foundation/tunnel construction. Typically added when significant dewatering works are included.</t>
  </si>
  <si>
    <t>Loss Prevention &amp; Limit of Indemnity for Property in Storage</t>
  </si>
  <si>
    <t>On pipeline SI</t>
  </si>
  <si>
    <t>p.62</t>
  </si>
  <si>
    <t>Special conditions and sub-limits for pipeline erection risks. Required for all pipeline projects.</t>
  </si>
  <si>
    <t>Used Machinery</t>
  </si>
  <si>
    <t>On TPL limit</t>
  </si>
  <si>
    <t>p.63</t>
  </si>
  <si>
    <t>Extension of TPL cover to include accidental damage to underground cables/pipelines not owned by the insured.</t>
  </si>
  <si>
    <t>Exclusion of Flood Damage</t>
  </si>
  <si>
    <t>Condition only (no rate)</t>
  </si>
  <si>
    <t>p.64</t>
  </si>
  <si>
    <t>Requires insured to implement specified fire prevention measures and fire-fighting equipment. Failure to comply may void coverage.</t>
  </si>
  <si>
    <t>Exclusion of Earthquake Damage</t>
  </si>
  <si>
    <t>Min 0.1‰/mth</t>
  </si>
  <si>
    <t>On value stored</t>
  </si>
  <si>
    <t>p.65</t>
  </si>
  <si>
    <t>Sets storage risk limits and loss prevention requirements. Rate: min 0.1‰/month on value stored.</t>
  </si>
  <si>
    <t>Earthquake Building Code</t>
  </si>
  <si>
    <t>On used equip. SI</t>
  </si>
  <si>
    <t>p.66</t>
  </si>
  <si>
    <t>Standard rates apply to proven-design new equipment. Used/dismantled/re-erected machinery requires individual assessment and loading.</t>
  </si>
  <si>
    <t>Exclusion of Damage to Crops, Forests, Cultivated Areas</t>
  </si>
  <si>
    <t>Restriction</t>
  </si>
  <si>
    <t>Flood excluded — rate reduction</t>
  </si>
  <si>
    <t>Total</t>
  </si>
  <si>
    <t>p.67</t>
  </si>
  <si>
    <t>Where flood risk is unacceptable (Zone III / high W factor), this clause excludes flood damage entirely. Rate reduction applies.</t>
  </si>
  <si>
    <t>Contract Works Time Schedule</t>
  </si>
  <si>
    <t>EQ excluded — rate reduction</t>
  </si>
  <si>
    <t>p.68</t>
  </si>
  <si>
    <t>For high seismic sites where EQ loading is prohibitive. Full EQ exclusion; significant rate reduction. Must also exclude EQ from TPL section.</t>
  </si>
  <si>
    <t>Debris, Silt, Erosion, Landslip</t>
  </si>
  <si>
    <t>Condition only</t>
  </si>
  <si>
    <t>p.69</t>
  </si>
  <si>
    <t>Requires insured structures to comply with applicable seismic building codes. Non-compliance may void EQ coverage.</t>
  </si>
  <si>
    <t>Manufacturer's Risk — Defective Material/Workmanship</t>
  </si>
  <si>
    <t>Reduction for rural risk</t>
  </si>
  <si>
    <t>TPL section</t>
  </si>
  <si>
    <t>p.70</t>
  </si>
  <si>
    <t>Commonly attached to agricultural/rural projects. Excludes TPL claims for crop/forest/cultivated-area damage.</t>
  </si>
  <si>
    <t>Manufacturer's Risk — Defective Design</t>
  </si>
  <si>
    <t>p.71</t>
  </si>
  <si>
    <t>Requires insured to maintain and submit project time schedule. Material deviations may require re-rating.</t>
  </si>
  <si>
    <t>Third Party Liability (TPL)</t>
  </si>
  <si>
    <t>Extension/Restriction</t>
  </si>
  <si>
    <t>p.72</t>
  </si>
  <si>
    <t>Adds or restricts cover for debris removal/silt/erosion damage. Terms depend on project type and location.</t>
  </si>
  <si>
    <t>6.1.1</t>
  </si>
  <si>
    <t>Sec 6.1.1</t>
  </si>
  <si>
    <t>Additional rate calculated as % of Ref.Rate per testing/maintenance month. Defective part itself always excluded.</t>
  </si>
  <si>
    <t>6.1.2</t>
  </si>
  <si>
    <t>Sec 6.1.2</t>
  </si>
  <si>
    <t>Same rate scale as 6.1.1. Only additional repair costs covered (not cost of rectifying the design defect itself).</t>
  </si>
  <si>
    <t>Table 20</t>
  </si>
  <si>
    <t>Standard Section</t>
  </si>
  <si>
    <t>0.20 to 0.80‰</t>
  </si>
  <si>
    <t>On contract value</t>
  </si>
  <si>
    <t>p.186-193</t>
  </si>
  <si>
    <t>Rate depends on Technical Risk Category (I/II/III) and Surroundings Category (a/b/c). See Rate-TPL sheet for full rate table.</t>
  </si>
  <si>
    <t>EAR Rating — Individual Machines (Blue Tables) | Basic Rate = for up to 3 months erection + 1 month testing</t>
  </si>
  <si>
    <t>EAR Code</t>
  </si>
  <si>
    <t>Description</t>
  </si>
  <si>
    <t>Basic Rate
(≤3m erection
+1m testing)</t>
  </si>
  <si>
    <t>Add. Rate
Erection
(per month)</t>
  </si>
  <si>
    <t>Add. Rate
Testing
(per month)</t>
  </si>
  <si>
    <t>Ref.
Rate</t>
  </si>
  <si>
    <t>General
Excess
(c-units)</t>
  </si>
  <si>
    <t>AoG/Test/
Maint. XS
(c-units)</t>
  </si>
  <si>
    <t>Maint. Excess (﷼)</t>
  </si>
  <si>
    <t>01.0</t>
  </si>
  <si>
    <t>PUBLIC UTILITIES — Individual machines: use min rate from white Rating Table 01 (Public Utilities) or white Table 16 (Transport)</t>
  </si>
  <si>
    <t>02.0</t>
  </si>
  <si>
    <t>UTILITIES IN INDUSTRIAL PLANTS — Individual Machines</t>
  </si>
  <si>
    <t>02.0.1</t>
  </si>
  <si>
    <t>Boiler feed pumps, incl. drive — turbine driven</t>
  </si>
  <si>
    <t>Boiler feed pumps, incl. drive — motor driven</t>
  </si>
  <si>
    <t>02.0.2</t>
  </si>
  <si>
    <t>Heat exchangers, condensers</t>
  </si>
  <si>
    <t>02.0.3</t>
  </si>
  <si>
    <t>Electrical motors — asynchronous squirrel cage, up to 1 MW</t>
  </si>
  <si>
    <t>Electrical motors — asynchronous slip ring, up to 25 MW</t>
  </si>
  <si>
    <t>Electrical motors — synchronous, up to 25 MW</t>
  </si>
  <si>
    <t>Electrical motors — direct current, up to 10 MW</t>
  </si>
  <si>
    <t>Electrical motors — special design (e.g. ring motor), up to 25 MW</t>
  </si>
  <si>
    <t>02.0.4</t>
  </si>
  <si>
    <t>Transformers — single/three phase, up to 100 MW; 30 kV</t>
  </si>
  <si>
    <t>Transformers — special design (rectifier/furnace transformers), up to 50 MW</t>
  </si>
  <si>
    <t>02.0.5</t>
  </si>
  <si>
    <t>Pumps incl. motor drive — reciprocating type, up to 5 MW; 50 bar</t>
  </si>
  <si>
    <t>Pumps incl. motor drive — centrifugal type, up to 5 MW; 50 bar</t>
  </si>
  <si>
    <t>Pumps incl. motor drive — special design (submerged, deepwell)</t>
  </si>
  <si>
    <t>02.0.6</t>
  </si>
  <si>
    <t>Compressors incl. drive — reciprocating, up to 10 MW; 100 bar</t>
  </si>
  <si>
    <t>Compressors — turbo (axial/radial), turbine driven, up to 10 MW; 50 bar</t>
  </si>
  <si>
    <t>Compressors — turbo (axial/radial), motor driven, up to 10 MW; 50 bar</t>
  </si>
  <si>
    <t>02.0.7</t>
  </si>
  <si>
    <t>Fans, ventilators, up to 5 MW</t>
  </si>
  <si>
    <t>02.0.8</t>
  </si>
  <si>
    <t>Other individual machines, not specified elsewhere</t>
  </si>
  <si>
    <t>03.0</t>
  </si>
  <si>
    <t>MINING INDUSTRY — Individual Machines</t>
  </si>
  <si>
    <t>03.0.1</t>
  </si>
  <si>
    <t>Dredgers, excavators, draglines and other exploitation machines</t>
  </si>
  <si>
    <t>03.0.2</t>
  </si>
  <si>
    <t>Breakers, crushers</t>
  </si>
  <si>
    <t>03.0.3</t>
  </si>
  <si>
    <t>Hoists, shaft lifts</t>
  </si>
  <si>
    <t>03.0.4</t>
  </si>
  <si>
    <t>Compressors/ventilators incl. drive — turbine driven, up to 10 000 kW; 50 bar</t>
  </si>
  <si>
    <t>Compressors/ventilators incl. drive — motor driven, up to 10 000 kW; 50 bar</t>
  </si>
  <si>
    <t>03.0.5</t>
  </si>
  <si>
    <t>Kilns, reverberatory furnaces, pelletizers</t>
  </si>
  <si>
    <t>03.0.6</t>
  </si>
  <si>
    <t>04.0</t>
  </si>
  <si>
    <t>CHEMICAL INDUSTRY — Individual Machines</t>
  </si>
  <si>
    <t>04.0.1</t>
  </si>
  <si>
    <t>Vessels, pressure vessels, distallation columns, crackers, reactors, furnaces</t>
  </si>
  <si>
    <t>04.0.2</t>
  </si>
  <si>
    <t>Turbo-compressors/pumps — turbine driven, ≤100 MW; ≤100 bar</t>
  </si>
  <si>
    <t>Turbo-compressors/pumps — motor driven, ≤100 MW; ≤100 bar</t>
  </si>
  <si>
    <t>04.0.3</t>
  </si>
  <si>
    <t>Reciprocating type compressors and pumps — motor driven, ≤20 MW; ≤250 bar</t>
  </si>
  <si>
    <t>04.0.4</t>
  </si>
  <si>
    <t>Centrifuges</t>
  </si>
  <si>
    <t>04.0.5</t>
  </si>
  <si>
    <t>Filters, cyclones, electrostatic precipitators</t>
  </si>
  <si>
    <t>04.0.6</t>
  </si>
  <si>
    <t>05.0</t>
  </si>
  <si>
    <t>METAL INDUSTRY — Individual Machines</t>
  </si>
  <si>
    <t>05.0.1</t>
  </si>
  <si>
    <t>Steel furnaces (Bessemer and Thomas converters, Siemens Martin furnaces)</t>
  </si>
  <si>
    <t>05.0.2</t>
  </si>
  <si>
    <t>Electrical arc furnaces</t>
  </si>
  <si>
    <t>05.0.3</t>
  </si>
  <si>
    <t>Other furnaces</t>
  </si>
  <si>
    <t>05.0.4</t>
  </si>
  <si>
    <t>Hot rolling mills, continuous casting machines</t>
  </si>
  <si>
    <t>05.0.5</t>
  </si>
  <si>
    <t>Extrusion presses, forging hammers, forging presses, shears and punching machines, presses, cutters</t>
  </si>
  <si>
    <t>05.0.6</t>
  </si>
  <si>
    <t>Cold rolling mills</t>
  </si>
  <si>
    <t>05.0.7</t>
  </si>
  <si>
    <t>Machine tools, incl. NC equipment, lathes, planing etc.</t>
  </si>
  <si>
    <t>05.0.8</t>
  </si>
  <si>
    <t>Scrap shearing machines, shredders</t>
  </si>
  <si>
    <t>05.0.9</t>
  </si>
  <si>
    <t>06.0</t>
  </si>
  <si>
    <t>BUILDING INDUSTRY — Individual Machines</t>
  </si>
  <si>
    <t>06.0.1</t>
  </si>
  <si>
    <t>Crushers (hammer, jaw)</t>
  </si>
  <si>
    <t>06.0.2</t>
  </si>
  <si>
    <t>Transport systems: conveyor belts, bucket elevators, air slides, air lifts</t>
  </si>
  <si>
    <t>06.0.3</t>
  </si>
  <si>
    <t>Mills: raw material grinding, clinker grinding, coal grinding, mixers</t>
  </si>
  <si>
    <t>06.0.4</t>
  </si>
  <si>
    <t>Filters: cyclones, separators, bag filters, electrostatic precipitators (mills, coolers)</t>
  </si>
  <si>
    <t>06.0.5</t>
  </si>
  <si>
    <t>Kilns, precalcining and drying furnaces, reheating and melting furnaces</t>
  </si>
  <si>
    <t>06.0.6</t>
  </si>
  <si>
    <t>Coolers: rotary, planetary, grate type</t>
  </si>
  <si>
    <t>06.0.7</t>
  </si>
  <si>
    <t>Material storage: stackers and reclaimers, weighing devices</t>
  </si>
  <si>
    <t>06.0.8</t>
  </si>
  <si>
    <t>Bagging machines, bulk loading</t>
  </si>
  <si>
    <t>06.0.9</t>
  </si>
  <si>
    <t>Glass manufacturing lines</t>
  </si>
  <si>
    <t>06.0.10</t>
  </si>
  <si>
    <t>07.0</t>
  </si>
  <si>
    <t>TIMBER &amp; WOOD INDUSTRY — Individual Machines</t>
  </si>
  <si>
    <t>07.0.1</t>
  </si>
  <si>
    <t>Frame saws</t>
  </si>
  <si>
    <t>07.0.2</t>
  </si>
  <si>
    <t>Wood chippers, veneering machines, peelers, chippers etc.</t>
  </si>
  <si>
    <t>07.0.3</t>
  </si>
  <si>
    <t>Single and multi-stage presses</t>
  </si>
  <si>
    <t>07.0.4</t>
  </si>
  <si>
    <t>08.0</t>
  </si>
  <si>
    <t>PULP AND PAPER INDUSTRY — Individual Machines</t>
  </si>
  <si>
    <t>08.0.1</t>
  </si>
  <si>
    <t>Bark removing (decorticating) machines, wood chippers, wood grinders</t>
  </si>
  <si>
    <t>08.0.2</t>
  </si>
  <si>
    <t>Beating mills, finishers, Jordan mills, Dolly tubs</t>
  </si>
  <si>
    <t>08.0.3</t>
  </si>
  <si>
    <t>Pulp sheet or paper making machines</t>
  </si>
  <si>
    <t>08.0.4</t>
  </si>
  <si>
    <t>Black liquor boilers</t>
  </si>
  <si>
    <t>08.0.5</t>
  </si>
  <si>
    <t>09.0</t>
  </si>
  <si>
    <t>PRINTING &amp; PACKING MATERIAL INDUSTRIES — Individual Machines</t>
  </si>
  <si>
    <t>09.0.1</t>
  </si>
  <si>
    <t>Rotary printing machines</t>
  </si>
  <si>
    <t>09.0.2</t>
  </si>
  <si>
    <t>Other printing machines</t>
  </si>
  <si>
    <t>09.0.3</t>
  </si>
  <si>
    <t>Type setting machines</t>
  </si>
  <si>
    <t>09.0.4</t>
  </si>
  <si>
    <t>Electronic scanning machines</t>
  </si>
  <si>
    <t>09.0.5</t>
  </si>
  <si>
    <t>Presses, cutters, punchers</t>
  </si>
  <si>
    <t>09.0.6</t>
  </si>
  <si>
    <t>10.0</t>
  </si>
  <si>
    <t>LEATHER INDUSTRY — Individual Machines</t>
  </si>
  <si>
    <t>10.0.1</t>
  </si>
  <si>
    <t>All individual machines, not specified elsewhere</t>
  </si>
  <si>
    <t>11.0</t>
  </si>
  <si>
    <t>TEXTILE INDUSTRY — Individual Machines</t>
  </si>
  <si>
    <t>11.0.1</t>
  </si>
  <si>
    <t>Bale breakers, openers, carding machines</t>
  </si>
  <si>
    <t>11.0.2</t>
  </si>
  <si>
    <t>Spinning, roving, twisting machines</t>
  </si>
  <si>
    <t>11.0.3</t>
  </si>
  <si>
    <t>Weaving machines, knitting machines</t>
  </si>
  <si>
    <t>11.0.4</t>
  </si>
  <si>
    <t>Printing machines</t>
  </si>
  <si>
    <t>11.0.5</t>
  </si>
  <si>
    <t>Washing machines (dry cleaners)</t>
  </si>
  <si>
    <t>11.0.6</t>
  </si>
  <si>
    <t>12.0</t>
  </si>
  <si>
    <t>PLASTIC &amp; RUBBER PRODUCTS INDUSTRIES — Individual Machines</t>
  </si>
  <si>
    <t>12.0.1</t>
  </si>
  <si>
    <t>Extruders, injection moulding machines, plastic-blowing machines, vulcanizing presses</t>
  </si>
  <si>
    <t>12.0.2</t>
  </si>
  <si>
    <t>Cutters, mills, mixers, calanders</t>
  </si>
  <si>
    <t>12.0.3</t>
  </si>
  <si>
    <t>Strand-bead forming machines</t>
  </si>
  <si>
    <t>12.0.4</t>
  </si>
  <si>
    <t>Vacuum impregnation machines</t>
  </si>
  <si>
    <t>12.0.5</t>
  </si>
  <si>
    <t>13.0</t>
  </si>
  <si>
    <t>FOOD INDUSTRY (VEGETABLE ORIGIN) — Individual Machines</t>
  </si>
  <si>
    <t>13.0.1</t>
  </si>
  <si>
    <t>Aspirators, cleaning, screening, brushing, shelling, winnowing machines</t>
  </si>
  <si>
    <t>13.0.2</t>
  </si>
  <si>
    <t>Cyclones, filters, dust collectors, bag filters etc.</t>
  </si>
  <si>
    <t>13.0.3</t>
  </si>
  <si>
    <t>Ball mills, grinders, crushing mills</t>
  </si>
  <si>
    <t>13.0.4</t>
  </si>
  <si>
    <t>Oil presses, cocoa butter presses, other presses, beet slicers, cutters, extractors, pelletizers</t>
  </si>
  <si>
    <t>13.0.5</t>
  </si>
  <si>
    <t>Sugar cane crusher mills (roller mills) incl. drive — turbine driven, up to 5 MW</t>
  </si>
  <si>
    <t>Sugar cane crusher mills (roller mills) incl. drive — motor driven, up to 5 MW</t>
  </si>
  <si>
    <t>13.0.6</t>
  </si>
  <si>
    <t>Ovens, roasting plants, dryers</t>
  </si>
  <si>
    <t>13.0.7</t>
  </si>
  <si>
    <t>Bottle cleaning and filling machines, packing machines</t>
  </si>
  <si>
    <t>13.0.8</t>
  </si>
  <si>
    <t>Centrifuges, separators</t>
  </si>
  <si>
    <t>13.0.9</t>
  </si>
  <si>
    <t>Automatic cigar and cigarette production machines</t>
  </si>
  <si>
    <t>13.0.10</t>
  </si>
  <si>
    <t>Vacuum dryers, pulverizer installations for instant pulverized food production</t>
  </si>
  <si>
    <t>13.0.11</t>
  </si>
  <si>
    <t>14.0</t>
  </si>
  <si>
    <t>FOOD INDUSTRY (ANIMAL ORIGIN) — Individual Machines</t>
  </si>
  <si>
    <t>14.0.1</t>
  </si>
  <si>
    <t>Heaters, pasteurizers, homogenizers, coolers</t>
  </si>
  <si>
    <t>14.0.2</t>
  </si>
  <si>
    <t>Cooling compressors incl. motor drive</t>
  </si>
  <si>
    <t>14.0.3</t>
  </si>
  <si>
    <t>14.0.4</t>
  </si>
  <si>
    <t>Meat saws, cutters, choppers, mincing machines, mixers</t>
  </si>
  <si>
    <t>14.0.5</t>
  </si>
  <si>
    <t>Vacuum dryers, pulverizers</t>
  </si>
  <si>
    <t>14.0.6</t>
  </si>
  <si>
    <t>14.0.7</t>
  </si>
  <si>
    <t>15.0</t>
  </si>
  <si>
    <t>FOOD REFRIGERATION, CANNERIES, COLD STORES — Individual Machines</t>
  </si>
  <si>
    <t>15.0.1</t>
  </si>
  <si>
    <t>15.0.2</t>
  </si>
  <si>
    <t>Fans, blowers</t>
  </si>
  <si>
    <t>15.0.3</t>
  </si>
  <si>
    <t>Evaporators, coolers, heat exchangers</t>
  </si>
  <si>
    <t>15.0.4</t>
  </si>
  <si>
    <t>Autoclaves, sterilizers</t>
  </si>
  <si>
    <t>15.0.5</t>
  </si>
  <si>
    <t>Can manufacturing machines, filling, sealing, labelling machines</t>
  </si>
  <si>
    <t>15.0.6</t>
  </si>
  <si>
    <t>16.0</t>
  </si>
  <si>
    <t>TRANSPORT SYSTEMS, PORTS, WAREHOUSES, TANK FARMS, SILOS — Individual Machines: use min rate from white Table 16 or blue Table 02</t>
  </si>
  <si>
    <t>17.0</t>
  </si>
  <si>
    <t>PUBLIC SERVICES — Individual machines: use white Table 17</t>
  </si>
  <si>
    <t>18.0</t>
  </si>
  <si>
    <t>HOSPITALS, HOTELS, DEPT. STORES, SCHOOLS — Individual Machines</t>
  </si>
  <si>
    <t>18.0.1</t>
  </si>
  <si>
    <t>Air conditioning devices — window units</t>
  </si>
  <si>
    <t>Air conditioning devices — compressors, pumps, vaporizers, ozonizers</t>
  </si>
  <si>
    <t>18.0.2</t>
  </si>
  <si>
    <t>Boilers for warm water and heating</t>
  </si>
  <si>
    <t>18.0.3</t>
  </si>
  <si>
    <t>Lifts, escalators</t>
  </si>
  <si>
    <t>18.0.4</t>
  </si>
  <si>
    <t>19.0</t>
  </si>
  <si>
    <t>FARMING, AGRICULTURE, HORTICULTURE — Individual machines: use white Table 19</t>
  </si>
  <si>
    <t>EAR Rating — Third Party Liability (TPL) Section | Rating Guidelines Swiss Re EAR-Policy | Base: 2 million c-units limit, excess 2,000 c-units</t>
  </si>
  <si>
    <t>B.1  TABLE OF RATES FOR BASIC LIMIT (2 mio c-units, excess 2,000 c-units)</t>
  </si>
  <si>
    <t>Tech.
Risk Cat.</t>
  </si>
  <si>
    <t>Industry Examples</t>
  </si>
  <si>
    <t>Surroundings
Category a
(isolated site)</t>
  </si>
  <si>
    <t>Surroundings
Category b
(outer town)</t>
  </si>
  <si>
    <t>Surroundings
Category c
(dense/urban)</t>
  </si>
  <si>
    <t>Min.Prem.
a (c-units)</t>
  </si>
  <si>
    <t>Min.Prem.
b (c-units)</t>
  </si>
  <si>
    <t>Min.Prem.
c (c-units)</t>
  </si>
  <si>
    <t>Min.Prem.
a (﷼)</t>
  </si>
  <si>
    <t>Min.Prem.
b (﷼)</t>
  </si>
  <si>
    <t>Min.Prem.
c (﷼)</t>
  </si>
  <si>
    <t>I (Light)</t>
  </si>
  <si>
    <t>09 Printing, 10 Leather, 11 Textile, 13 Food (veg), 14 Food (anim)</t>
  </si>
  <si>
    <t>II (Medium)</t>
  </si>
  <si>
    <t>01.5 Electricity dist., 01.6 Waterworks, 01.8 Telecom, 07 Timber, 08 Paper, 12 Plastic, 15 Cold stores, 17 Public svcs, 18 Hospitals, 19 Farming</t>
  </si>
  <si>
    <t>01.1-.4 Power plants, 01.7 Garbage, 02 Indust. utilities, 03 Mining, 04 Chemical, 05 Metal, 06 Building, 12 Plastic, 16 Transport/ports</t>
  </si>
  <si>
    <t>B.2  FACTORS FOR ADAPTING RATES TO OTHER LIMITS (minimum excess = 1 ‰ of total limit)</t>
  </si>
  <si>
    <t>Total Limit
(c-units mio)</t>
  </si>
  <si>
    <t>Factor</t>
  </si>
  <si>
    <t>≤ 0.5 mio</t>
  </si>
  <si>
    <t>1 mio</t>
  </si>
  <si>
    <t>2 mio (base)</t>
  </si>
  <si>
    <t>4 mio</t>
  </si>
  <si>
    <t>6 mio</t>
  </si>
  <si>
    <t>8 mio</t>
  </si>
  <si>
    <t>10 mio</t>
  </si>
  <si>
    <t>B.3  REBATES FOR INCREASED EXCESSES (excess in ‰ of total limit insured)</t>
  </si>
  <si>
    <t>Excess
(‰ of total
limit insured)</t>
  </si>
  <si>
    <t>Deduction
(% of total
premium)</t>
  </si>
  <si>
    <t>1 ‰ (min)</t>
  </si>
  <si>
    <t>0% (no rebate)</t>
  </si>
  <si>
    <t>2 ‰</t>
  </si>
  <si>
    <t>10%</t>
  </si>
  <si>
    <t>3 ‰</t>
  </si>
  <si>
    <t>15%</t>
  </si>
  <si>
    <t>5 ‰</t>
  </si>
  <si>
    <t>20%</t>
  </si>
  <si>
    <t>B.4  ADDITIONAL PREMIUM FOR TPL COVER DURING MAINTENANCE PERIOD</t>
  </si>
  <si>
    <t>Maintenance Type</t>
  </si>
  <si>
    <t>Additional Premium</t>
  </si>
  <si>
    <t>Visits maintenance (12-month period)</t>
  </si>
  <si>
    <t>20% of TPL rate for erection/testing (pro rata for longer periods)</t>
  </si>
  <si>
    <t>Extended maintenance (12-month period)</t>
  </si>
  <si>
    <t>40% of TPL rate for erection/testing (pro rata for longer periods)</t>
  </si>
  <si>
    <t>B.5  ADDITIONAL PREMIUM FOR CROSS LIABILITY</t>
  </si>
  <si>
    <t>Surcharge: 35% of total TPL premium (minimum 15% if no plant/equipment/storage exposure or these are covered under MD section)</t>
  </si>
  <si>
    <t>B.6  DEDUCTIONS OF PREMIUM RATES FOR HIGH CONTRACT (PROJECT) VALUES</t>
  </si>
  <si>
    <t>Contract Value</t>
  </si>
  <si>
    <t>Rebate on TPL Rate</t>
  </si>
  <si>
    <t>Up to c-units 50 mio</t>
  </si>
  <si>
    <t>None</t>
  </si>
  <si>
    <t>50 mio to 150 mio</t>
  </si>
  <si>
    <t>0 – 15%</t>
  </si>
  <si>
    <t>150 mio to 350 mio</t>
  </si>
  <si>
    <t>15 – 40%</t>
  </si>
  <si>
    <t>Above 350 mio</t>
  </si>
  <si>
    <t>Case by case</t>
  </si>
  <si>
    <t>EAR — Excess / Deductible Reference Tables (Swiss Re EAR Rating Guide — Section 9)</t>
  </si>
  <si>
    <t>D.1  REBATE FACTORS — MULTIPLES OF MINIMUM EXCESS (applied to individual item rate)</t>
  </si>
  <si>
    <t>Multiple of Min. Excess</t>
  </si>
  <si>
    <t>Rebate Factor (× basic rate)</t>
  </si>
  <si>
    <t xml:space="preserve">Effective Rate = </t>
  </si>
  <si>
    <t>basic rate × 0.9</t>
  </si>
  <si>
    <t>basic rate × 0.85</t>
  </si>
  <si>
    <t>basic rate × 0.8</t>
  </si>
  <si>
    <t>basic rate × 0.75</t>
  </si>
  <si>
    <t>basic rate × 0.7</t>
  </si>
  <si>
    <t>basic rate × 0.65</t>
  </si>
  <si>
    <t>basic rate × 0.6</t>
  </si>
  <si>
    <t>basic rate × 0.55</t>
  </si>
  <si>
    <t>basic rate × 0.5</t>
  </si>
  <si>
    <t>basic rate × 0.45</t>
  </si>
  <si>
    <t>&gt; 100</t>
  </si>
  <si>
    <t>Consult Reinsurer</t>
  </si>
  <si>
    <t>D.2  PROPORTIONAL EXCESS (% of each claim)</t>
  </si>
  <si>
    <t>Proportional Excess
(% of each claim)</t>
  </si>
  <si>
    <t>Rebate Factor</t>
  </si>
  <si>
    <t>D.3  MINIMUM EXCESSES BY SUB-GROUP (from white Rating Tables — Source: Rate-SubGroup col G = Ref.Rate, col H = EAR source)</t>
  </si>
  <si>
    <t>Row</t>
  </si>
  <si>
    <t>Sub-Group Name (EAR Standard)</t>
  </si>
  <si>
    <t>AoG/Test/Maint.
Excess (c-units)</t>
  </si>
  <si>
    <t>EAR Table Source</t>
  </si>
  <si>
    <t>AoG Excess (﷼)</t>
  </si>
  <si>
    <t>Rate-SubGroup row 2</t>
  </si>
  <si>
    <t>Rate-SubGroup row 3</t>
  </si>
  <si>
    <t>Rate-SubGroup row 4</t>
  </si>
  <si>
    <t>Rate-SubGroup row 5</t>
  </si>
  <si>
    <t>Rate-SubGroup row 6</t>
  </si>
  <si>
    <t>Rate-SubGroup row 7</t>
  </si>
  <si>
    <t>Rate-SubGroup row 8</t>
  </si>
  <si>
    <t>Rate-SubGroup row 9</t>
  </si>
  <si>
    <t>Rate-SubGroup row 10</t>
  </si>
  <si>
    <t>Rate-SubGroup row 11</t>
  </si>
  <si>
    <t>Rate-SubGroup row 12</t>
  </si>
  <si>
    <t>Rate-SubGroup row 13</t>
  </si>
  <si>
    <t>Rate-SubGroup row 14</t>
  </si>
  <si>
    <t>Rate-SubGroup row 15</t>
  </si>
  <si>
    <t>Rate-SubGroup row 16</t>
  </si>
  <si>
    <t>Rate-SubGroup row 17</t>
  </si>
  <si>
    <t>Rate-SubGroup row 18</t>
  </si>
  <si>
    <t>Rate-SubGroup row 19</t>
  </si>
  <si>
    <t>Rate-SubGroup row 20</t>
  </si>
  <si>
    <t>Rate-SubGroup row 21</t>
  </si>
  <si>
    <t>Rate-SubGroup row 22</t>
  </si>
  <si>
    <t>Rate-SubGroup row 23</t>
  </si>
  <si>
    <t>Rate-SubGroup row 24</t>
  </si>
  <si>
    <t>Rate-SubGroup row 25</t>
  </si>
  <si>
    <t>Rate-SubGroup row 26</t>
  </si>
  <si>
    <t>Rate-SubGroup row 27</t>
  </si>
  <si>
    <t>Rate-SubGroup row 28</t>
  </si>
  <si>
    <t>Rate-SubGroup row 29</t>
  </si>
  <si>
    <t>Rate-SubGroup row 30</t>
  </si>
  <si>
    <t>Rate-SubGroup row 31</t>
  </si>
  <si>
    <t>Rate-SubGroup row 32</t>
  </si>
  <si>
    <t>Rate-SubGroup row 33</t>
  </si>
  <si>
    <t>Rate-SubGroup row 34</t>
  </si>
  <si>
    <t>Rate-SubGroup row 35</t>
  </si>
  <si>
    <t>Rate-SubGroup row 36</t>
  </si>
  <si>
    <t>Rate-SubGroup row 37</t>
  </si>
  <si>
    <t>Rate-SubGroup row 38</t>
  </si>
  <si>
    <t>Rate-SubGroup row 39</t>
  </si>
  <si>
    <t>Rate-SubGroup row 40</t>
  </si>
  <si>
    <t>Rate-SubGroup row 41</t>
  </si>
  <si>
    <t>Rate-SubGroup row 42</t>
  </si>
  <si>
    <t>Rate-SubGroup row 43</t>
  </si>
  <si>
    <t>Rate-SubGroup row 44</t>
  </si>
  <si>
    <t>Rate-SubGroup row 45</t>
  </si>
  <si>
    <t>Rate-SubGroup row 46</t>
  </si>
  <si>
    <t>Rate-SubGroup row 47</t>
  </si>
  <si>
    <t>Rate-SubGroup row 48</t>
  </si>
  <si>
    <t>Rate-SubGroup row 49</t>
  </si>
  <si>
    <t>Rate-SubGroup row 50</t>
  </si>
  <si>
    <t>Rate-SubGroup row 51</t>
  </si>
  <si>
    <t>Rate-SubGroup row 52</t>
  </si>
  <si>
    <t>Rate-SubGroup row 53</t>
  </si>
  <si>
    <t>Rate-SubGroup row 54</t>
  </si>
  <si>
    <t>Rate-SubGroup row 55</t>
  </si>
  <si>
    <t>Rate-SubGroup row 56</t>
  </si>
  <si>
    <t>Rate-SubGroup row 57</t>
  </si>
  <si>
    <t>Rate-SubGroup row 58</t>
  </si>
  <si>
    <t>Rate-SubGroup row 59</t>
  </si>
  <si>
    <t>Rate-SubGroup row 60</t>
  </si>
  <si>
    <t>Rate-SubGroup row 61</t>
  </si>
  <si>
    <t>Rate-SubGroup row 62</t>
  </si>
  <si>
    <t>Rate-SubGroup row 63</t>
  </si>
  <si>
    <t>Rate-SubGroup row 64</t>
  </si>
  <si>
    <t>Rate-SubGroup row 65</t>
  </si>
  <si>
    <t>Rate-SubGroup row 66</t>
  </si>
  <si>
    <t>Rate-SubGroup row 67</t>
  </si>
  <si>
    <t>Rate-SubGroup row 68</t>
  </si>
  <si>
    <t>Rate-SubGroup row 69</t>
  </si>
  <si>
    <t>Rate-SubGroup row 70</t>
  </si>
  <si>
    <t>Rate-SubGroup row 71</t>
  </si>
  <si>
    <t>Rate-SubGroup row 72</t>
  </si>
  <si>
    <t>Rate-SubGroup row 73</t>
  </si>
  <si>
    <t>Rate-SubGroup row 74</t>
  </si>
  <si>
    <t>Rate-SubGroup row 75</t>
  </si>
  <si>
    <t>Rate-SubGroup row 76</t>
  </si>
  <si>
    <t>Rate-SubGroup row 77</t>
  </si>
  <si>
    <t>Rate-SubGroup row 78</t>
  </si>
  <si>
    <t>Rate-SubGroup row 79</t>
  </si>
  <si>
    <t>Rate-SubGroup row 80</t>
  </si>
  <si>
    <t>Rate-SubGroup row 81</t>
  </si>
  <si>
    <t>Rate-SubGroup row 82</t>
  </si>
  <si>
    <t>Rate-SubGroup row 83</t>
  </si>
  <si>
    <t>Rate-SubGroup row 84</t>
  </si>
  <si>
    <t>Rate-SubGroup row 85</t>
  </si>
  <si>
    <t>Rate-SubGroup row 86</t>
  </si>
  <si>
    <t>Rate-SubGroup row 87</t>
  </si>
  <si>
    <t>Rate-SubGroup row 88</t>
  </si>
  <si>
    <t>Rate-SubGroup row 89</t>
  </si>
  <si>
    <t>Rate-SubGroup row 90</t>
  </si>
  <si>
    <t>Rate-SubGroup row 91</t>
  </si>
  <si>
    <t>Rate-SubGroup row 92</t>
  </si>
  <si>
    <t>Rate-SubGroup row 93</t>
  </si>
  <si>
    <t>Rate-SubGroup row 94</t>
  </si>
  <si>
    <t>Rate-SubGroup row 95</t>
  </si>
  <si>
    <t>Rate-SubGroup row 96</t>
  </si>
  <si>
    <t>Rate-SubGroup row 97</t>
  </si>
  <si>
    <t>Rate-SubGroup row 98</t>
  </si>
  <si>
    <t>Rate-SubGroup row 99</t>
  </si>
  <si>
    <t>Rate-SubGroup row 100</t>
  </si>
  <si>
    <t>Rate-SubGroup row 101</t>
  </si>
  <si>
    <t>Rate-SubGroup row 102</t>
  </si>
  <si>
    <t>Rate-SubGroup row 103</t>
  </si>
  <si>
    <t>Rate-SubGroup row 104</t>
  </si>
  <si>
    <t>Rate-SubGroup row 105</t>
  </si>
  <si>
    <t>Rate-SubGroup row 106</t>
  </si>
  <si>
    <t>Rate-SubGroup row 107</t>
  </si>
  <si>
    <t>Rate-SubGroup row 108</t>
  </si>
  <si>
    <t>Rate-SubGroup row 109</t>
  </si>
  <si>
    <t>Rate-SubGroup row 110</t>
  </si>
  <si>
    <t>Rate-SubGroup row 111</t>
  </si>
  <si>
    <t>Rate-SubGroup row 112</t>
  </si>
  <si>
    <t>Rate-SubGroup row 113</t>
  </si>
  <si>
    <t>Rate-SubGroup row 114</t>
  </si>
  <si>
    <t>Rate-SubGroup row 115</t>
  </si>
  <si>
    <t>Rate-SubGroup row 116</t>
  </si>
  <si>
    <t>Rate-SubGroup row 117</t>
  </si>
  <si>
    <t>Rate-SubGroup row 118</t>
  </si>
  <si>
    <t>Rate-SubGroup row 119</t>
  </si>
  <si>
    <t>Rate-SubGroup row 120</t>
  </si>
  <si>
    <t>Rate-SubGroup row 121</t>
  </si>
  <si>
    <t>Rate-SubGroup row 122</t>
  </si>
  <si>
    <t>Rate-SubGroup row 123</t>
  </si>
  <si>
    <t>Rate-SubGroup row 124</t>
  </si>
  <si>
    <t>Rate-SubGroup row 125</t>
  </si>
  <si>
    <t>Rate-SubGroup row 126</t>
  </si>
  <si>
    <t>Rate-SubGroup row 127</t>
  </si>
  <si>
    <t>Rate-SubGroup row 128</t>
  </si>
  <si>
    <t>Rate-SubGroup row 129</t>
  </si>
  <si>
    <t>Rate-SubGroup row 130</t>
  </si>
  <si>
    <t>Rate-SubGroup row 131</t>
  </si>
  <si>
    <t>Rate-SubGroup row 132</t>
  </si>
  <si>
    <t>Rate-SubGroup row 133</t>
  </si>
  <si>
    <t>Rate-SubGroup row 134</t>
  </si>
  <si>
    <t>Rate-SubGroup row 135</t>
  </si>
  <si>
    <t>Rate-SubGroup row 136</t>
  </si>
  <si>
    <t>Rate-SubGroup row 137</t>
  </si>
  <si>
    <t>Rate-SubGroup row 138</t>
  </si>
  <si>
    <t>Rate-SubGroup row 139</t>
  </si>
  <si>
    <t>Rate-SubGroup row 140</t>
  </si>
  <si>
    <t>Rate-SubGroup row 141</t>
  </si>
  <si>
    <t>Rate-SubGroup row 142</t>
  </si>
  <si>
    <t>Rate-SubGroup row 143</t>
  </si>
  <si>
    <t>Rate-SubGroup row 144</t>
  </si>
  <si>
    <t>Rate-SubGroup row 145</t>
  </si>
  <si>
    <t>Rate-SubGroup row 146</t>
  </si>
  <si>
    <t>Rate-SubGroup row 147</t>
  </si>
  <si>
    <t>Rate-SubGroup row 148</t>
  </si>
  <si>
    <t>Rate-SubGroup row 149</t>
  </si>
  <si>
    <t>Rate-SubGroup row 150</t>
  </si>
  <si>
    <t>Rate-SubGroup row 151</t>
  </si>
  <si>
    <t>Rate-SubGroup row 152</t>
  </si>
  <si>
    <t>Coverage Item</t>
  </si>
  <si>
    <t>Option (select in Data sheet)</t>
  </si>
  <si>
    <t>Rate Loading (‰)</t>
  </si>
  <si>
    <t>Applicable On</t>
  </si>
  <si>
    <t>EAR Reference</t>
  </si>
  <si>
    <t>Notes / Swiss Re Guidance</t>
  </si>
  <si>
    <t>Yes — included</t>
  </si>
  <si>
    <t>from Ref.Rate</t>
  </si>
  <si>
    <t>Testing rate (col F Hot_test in Rate-SubGroup)</t>
  </si>
  <si>
    <t>Sec 3.3.2</t>
  </si>
  <si>
    <t>Standard 4-week commissioning period included in erection rate</t>
  </si>
  <si>
    <t>Not included</t>
  </si>
  <si>
    <t>If no commissioning/testing, testing rate excluded</t>
  </si>
  <si>
    <t>Manufacturer's Risk (Defect Material/Workmanship)</t>
  </si>
  <si>
    <t>Yes — 1-3 mths</t>
  </si>
  <si>
    <t>5% of Ref.Rate</t>
  </si>
  <si>
    <t>Per month of testing/maint</t>
  </si>
  <si>
    <t>5% × Ref.Rate added per month; Ref.Rate from Rate-SubGroup col G</t>
  </si>
  <si>
    <t>Yes — 4-6 mths</t>
  </si>
  <si>
    <t>7.5% of Ref.Rate</t>
  </si>
  <si>
    <t>Yes — 7-12 mths</t>
  </si>
  <si>
    <t>10% of Ref.Rate</t>
  </si>
  <si>
    <t>Without defect coverage: reduce basic rate by 5% × Ref.Rate</t>
  </si>
  <si>
    <t>Manufacturer's Risk (Defective Design)</t>
  </si>
  <si>
    <t>Same scale as defective material/workmanship</t>
  </si>
  <si>
    <t>Visits Maintenance (6.2.1)</t>
  </si>
  <si>
    <t>Yes — 12 months</t>
  </si>
  <si>
    <t>Total period</t>
  </si>
  <si>
    <t>Sec 6.2.1 / 9</t>
  </si>
  <si>
    <t>5% light industry; 7.5% power/chemical/heavy industry</t>
  </si>
  <si>
    <t>Sec 6.2.1</t>
  </si>
  <si>
    <t>Extended Maintenance (6.2.2)</t>
  </si>
  <si>
    <t>Sec 6.2.2 / 9</t>
  </si>
  <si>
    <t>7.5% light; 12.5% power/chemical/heavy</t>
  </si>
  <si>
    <t>Sec 6.2.2</t>
  </si>
  <si>
    <t>Expediting Costs (5.3)</t>
  </si>
  <si>
    <t>Yes — with limit</t>
  </si>
  <si>
    <t>Sec 5.3 p.109</t>
  </si>
  <si>
    <t>Limit per event ≈ 20% of expected average claim</t>
  </si>
  <si>
    <t>Sec 5.3</t>
  </si>
  <si>
    <t>Air Freight Costs (5.4)</t>
  </si>
  <si>
    <t>Yes — &lt;2000 miles</t>
  </si>
  <si>
    <t>Sec 5.4 p.109</t>
  </si>
  <si>
    <t>Max aggregate limit ≈ 1% of SI</t>
  </si>
  <si>
    <t>Yes — &gt;2000 miles</t>
  </si>
  <si>
    <t>5-20</t>
  </si>
  <si>
    <t>Sec 5.4</t>
  </si>
  <si>
    <t>Proportional increase above 5‰</t>
  </si>
  <si>
    <t>Clearance of Debris (5.2)</t>
  </si>
  <si>
    <t>Yes — limit ≤100k</t>
  </si>
  <si>
    <t>Standard inclusion</t>
  </si>
  <si>
    <t>Sec 5.2</t>
  </si>
  <si>
    <t>Up to 100,000 c-units: nil additional rate</t>
  </si>
  <si>
    <t>Yes — limit &gt;100k</t>
  </si>
  <si>
    <t>Equal to erection rate</t>
  </si>
  <si>
    <t>Max 1 million c-units; rate = overall erection/testing rate</t>
  </si>
  <si>
    <t>Storage Risk — Pre-Erection (5.5)</t>
  </si>
  <si>
    <t>Per month on value stored</t>
  </si>
  <si>
    <t>Sec 5.5 p.109</t>
  </si>
  <si>
    <t>Minimum 0.1‰/month on value stored; fire/PoN measures may be required</t>
  </si>
  <si>
    <t>Sec 5.5</t>
  </si>
  <si>
    <t>Inland Transit (6.5)</t>
  </si>
  <si>
    <t>≥1‰</t>
  </si>
  <si>
    <t>On total value transported</t>
  </si>
  <si>
    <t>Sec 6.5 p.111</t>
  </si>
  <si>
    <t>Marine specialist rate; min 1‰; not normally covered under EAR policy</t>
  </si>
  <si>
    <t>Sec 6.5</t>
  </si>
  <si>
    <t>Project Period Extension (3.3.5)</t>
  </si>
  <si>
    <t>Extended</t>
  </si>
  <si>
    <t>(Overall rate / months) × 1.25</t>
  </si>
  <si>
    <t>Per extra month</t>
  </si>
  <si>
    <t>Sec 9 / 3.3.5</t>
  </si>
  <si>
    <t>Fraction of month = full month; applies to erection extension</t>
  </si>
  <si>
    <t>No extension</t>
  </si>
  <si>
    <t>Sec 3.3.5</t>
  </si>
  <si>
    <t>Used / Second-Hand Machinery (2.6)</t>
  </si>
  <si>
    <t>Sec 2.6</t>
  </si>
  <si>
    <t>Rates in guide are for new/proven design; loading required for used equipment</t>
  </si>
  <si>
    <t>Not applicable</t>
  </si>
  <si>
    <t>Cross Liability (6.3)</t>
  </si>
  <si>
    <t>35% of total TPL premium</t>
  </si>
  <si>
    <t>Total TPL prem</t>
  </si>
  <si>
    <t>Sec 6.3 / B.5</t>
  </si>
  <si>
    <t>Min 15% if no plant/equipment/storage exposure; see Rate-TPL B.5</t>
  </si>
  <si>
    <t>Sec 6.3</t>
  </si>
  <si>
    <t>Third Party Liability (5.6)</t>
  </si>
  <si>
    <t>See Rate-TPL B.1</t>
  </si>
  <si>
    <t>Sec 5.6 / Table 20</t>
  </si>
  <si>
    <t>Rate per risk category (I/II/III) × surroundings (a/b/c)</t>
  </si>
  <si>
    <t>Sec 5.6</t>
  </si>
  <si>
    <t>⚠ DEPRECATED / غیرفعال — این شیت پیش‌تر هم غیرفعال بود (طبق یادداشت داخلی خودش). اکنون کاملاً جایگزین شده با 'Rate-EQ-SwissRe' که جدول E واقعی سوئیس‌ری را از متن مبدأ بازسازی می‌کند (نه تقریب خطی E/3 که این شیت به‌عنوان فرض موقت اعلام کرده بود).</t>
  </si>
  <si>
    <t>Province / Region (Iran)</t>
  </si>
  <si>
    <t>EQ Zone (A-E)</t>
  </si>
  <si>
    <t>Monthly EQ Rate
(‰ / month)</t>
  </si>
  <si>
    <t>Factor E
(E1×E2=3)</t>
  </si>
  <si>
    <t>Annual EQ Rate
(× months)</t>
  </si>
  <si>
    <t>Tehran — Northern / fault zones (Rey, Shemiran)</t>
  </si>
  <si>
    <t>A</t>
  </si>
  <si>
    <t>12-24 mths</t>
  </si>
  <si>
    <t>Zone A catastrophic; near North Tehran Fault</t>
  </si>
  <si>
    <t>Tehran — Southern, Alborz, Markazi, Kerman</t>
  </si>
  <si>
    <t>B</t>
  </si>
  <si>
    <t>Zone B very heavy</t>
  </si>
  <si>
    <t>Sistan-Baluchestan (Chabahar area)</t>
  </si>
  <si>
    <t>Zone B per seismic map</t>
  </si>
  <si>
    <t>Fars, East Azerbaijan</t>
  </si>
  <si>
    <t>C</t>
  </si>
  <si>
    <t>Zone C heavy; E=3 → no loading (threshold E≥6 for Zone C)</t>
  </si>
  <si>
    <t>Mazandaran, Golestan, Gilan</t>
  </si>
  <si>
    <t>Zone C; coastal/Alborz — verify site-specific</t>
  </si>
  <si>
    <t>Hormozgan, Hamadan, Yazd</t>
  </si>
  <si>
    <t>Zone C</t>
  </si>
  <si>
    <t>Khorasan Razavi, Qazvin</t>
  </si>
  <si>
    <t>Isfahan, Khuzestan, Markazi</t>
  </si>
  <si>
    <t>D</t>
  </si>
  <si>
    <t>Zone D medium; E=3 → no loading (threshold E≥12.5)</t>
  </si>
  <si>
    <t>Qom, Semnan, Zanjan, Ardabil</t>
  </si>
  <si>
    <t>Zone D</t>
  </si>
  <si>
    <t>Kermanshah, Kurdistan, Ilam</t>
  </si>
  <si>
    <t>Lorestan, Bushehr, Chaharmahal</t>
  </si>
  <si>
    <t>West Azerbaijan, Kohgiluyeh</t>
  </si>
  <si>
    <t>North Khorasan</t>
  </si>
  <si>
    <t>South Khorasan — central parts</t>
  </si>
  <si>
    <t>E</t>
  </si>
  <si>
    <t>Zone E low; no EQ loading required regardless of E factor</t>
  </si>
  <si>
    <t>EQ method (as implemented): Loading(permille) = monthly base rate (this table, calibrated at reference E=3) x (E/3) x project months, where E = E1 (plant sensitivity 1-4) x E2 (structure 1-5). Applied only if zone threshold met: A/B always; C if E&gt;=6; D if E&gt;=12.5; E never. NOTE: the full Swiss Re zone x E earthquake table is not present in this workbook, so the (E/3) linear scaling from the E=3 anchor is an explicit ASSUMPTION - verify against the original Swiss Re EQ table before binding. Zones C/D/E currently carry a 0 base rate here, so they yield 0 regardless of E.</t>
  </si>
  <si>
    <t>Existing Property Option</t>
  </si>
  <si>
    <t>Rate on Limit
(‰ per event)</t>
  </si>
  <si>
    <t>Max Limit
(c-units)</t>
  </si>
  <si>
    <t>Notes / EAR Reference</t>
  </si>
  <si>
    <t>Max Limit (﷼)</t>
  </si>
  <si>
    <t>Yes — Existing property, WITH explosion risk</t>
  </si>
  <si>
    <t>EAR Sec 5.1 p.109 / p.34. Rate 15‰ on limit per event. Limit ≤ c-units 5,000,000 or in reasonable relation to TCV.</t>
  </si>
  <si>
    <t>Yes — Existing property, WITHOUT explosion risk</t>
  </si>
  <si>
    <t>EAR Sec 5.1 p.109 / p.34. Rate 5‰ on limit per event.</t>
  </si>
  <si>
    <t>No additional premium. Default position.</t>
  </si>
  <si>
    <t>تاریخ</t>
  </si>
  <si>
    <t>تغییر</t>
  </si>
  <si>
    <t>منبع</t>
  </si>
  <si>
    <t>2026-06-28</t>
  </si>
  <si>
    <t>افزودن 115 مورد بیمهٔ جدید (دسته‌بندی‌های اندازه/نوع) به شیت Rate-SubGroup زیر ردیف ۳۸ (ردیف‌های 39 تا 153).</t>
  </si>
  <si>
    <t>Swiss Re EAR Rating Guide (Section 10 white tables) via EAR_Iran_Rating_Database.xlsx</t>
  </si>
  <si>
    <t>۳۷ ردیف اصلی بدون تغییر حفظ شد؛ فقط جدول‌های سفید Complete Plant با نرخ واقعی افزوده شد. ماشین‌های منفرد (جدول آبی) و TPL (جدول ۲۰) ساختار نرخ متفاوت دارند و افزوده نشدند.</t>
  </si>
  <si>
    <t>2026-06-29</t>
  </si>
  <si>
    <t>v3 — Major rebuild: (1) Rate-BINARY, Rate-Region, Rate-Asset fully translated to English with real Swiss Re EAR values and rate loadings. (2) Rate-Clauses new sheet: all 30 EAR endorsements/clauses with rate impacts. (3) Data sheet fully rebuilt in English: Group→Sub-group cascading dropdown (INDIRECT-based), TPL rate calculation (auto from risk category × surroundings × limit), earthquake loading, all extensions in dropdown rows, 8-row multi-clause section (EAR_Clauses named range), deductibles read-only display, and summary/total row. (4) Named ranges fixed after column insert. (5) All 37 original Rate-SubGroup rows renamed to EAR standard English names.</t>
  </si>
  <si>
    <t>Claude (Anthropic) — EAR Swiss Re Rating Guide</t>
  </si>
  <si>
    <t>v5 — Bug fixes &amp; completion: (1) C5 dropdown: I5 rebuilt with correct U+2014 em-dash SUBSTITUTE chain; EAR_Groups sorted numerically 01-19; old Persian named ranges removed. (2) E12 hot-test formula uses exact em-dash string match with C12 default. (3) C6 validation: 1-120 months with error message. (4) New section I: validation checks (V1-V4) for duration, EQ exclusion conflict, hot-test consistency, sub-group lookup. (5) New section J: full premium engine — SI input, technical rate, UW adjustment, office rate, min premium check, gross MD premium, TPL premium, brokerage, tax, total premium payable. (6) H section total row relabelled as Indicative Gross Rate. (7) C8 label clarified as Soil/Ground Type.</t>
  </si>
  <si>
    <t>Claude (Anthropic) v5</t>
  </si>
  <si>
    <t>v6 - Full repair &amp; rebuild. STRUCTURAL: Rate-SubGroup re-sorted by group/sub-code so the lookup key (col A, cleaned full EAR names) is row-aligned with the rates - fixes the critical defect where 150 of 152 sub-groups returned another sub-group rates; helper key cols replaced by one aligned key + a 19-row group list (col N); all EAR_ named ranges rebuilt as contiguous per-group A-slices; dead Sheet2 removed. FORMULAS: every XLOOKUP replaced with INDEX/MATCH (version-safe; the bare xlookup spelling produced a name error in MS Excel that IFERROR silently turned into zero); Data sheet rebuilt from scratch to remove orphaned merged ranges and broken references. PRICING: TPL is calculated once and wired live to Rate-TPL (base rate, limit factor and minimum premium via INDEX/MATCH, no hardcoded grid) and removed from the MD rate so it is no longer double counted; cross-liability is gated on selection and applied once as 35 percent of the TPL premium; Section-C extensions rebuilt as real calculators (Manufacturers Risk by test/maint months x percent-of-Reference-Rate band; Visits and Extended Maintenance by months x light/heavy percent; Expediting as percent-of-works-rate; Air Freight, Storage, Inland Transit, Debris&gt;100k and Existing Property priced as premiums in c-units on their own limit/value rather than per-mille on the SI); earthquake rebuilt to the Swiss Re E = E1 x E2 method with zone thresholds and an earthquake-exclusion toggle. VALIDATION: checks now detect real failures - V1 verifies the sub-group resolved to a numeric rate rather than merely that a key exists, plus floor, duration, EQ-exclusion, TPL-input and Sum-Insured checks; the advisory-endorsement dropdowns were moved onto the correct columns. PREMIUM: Gross = MD + add-ons + TPL; tax is applied to gross (not to premium net of brokerage); net-to-insurer and total-payable-by-insured are shown separately. ASSUMPTIONS: earthquake (E/3) linear scaling from the E=3 anchor because the full Swiss Re zone x E table is not in the workbook; the indicative minimum premium uses the general-excess value as an order-of-magnitude floor only (not an authoritative Swiss Re minimum); maintenance light vs heavy is a user toggle.</t>
  </si>
  <si>
    <t>Independent audit &amp; rebuild (Claude)</t>
  </si>
  <si>
    <t>2026-07-19</t>
  </si>
  <si>
    <r>
      <rPr>
        <sz val="10"/>
        <rFont val="Calibri"/>
        <charset val="1"/>
      </rPr>
      <t>v7 — Earthquake mechanism replaced with real Swiss Re method (Claude audit). BEFORE: Data!E18 = VLOOKUP(province, 'Rate-Hazard', flat 1.00/1.15 factor, unsourced); Data!E20 = (erection rate + testing rate) x (loading factor - 1), applied once regardless of project duration or equipment/structure sensitivity; EQ1/EQ2/EQ3 (E1, E2, combined E) were hardcoded as 'DEPRECATED - superseded by province factor'. AFTER: Data!C7 now selects a city/town from the Standard 2800 (4th ed., 1393) Appendix 1 classification (489 county-seat-level points, sheet 'Hazard-Cities-2800', each row cited to its source scan page); Data!C15/C16 are live inputs for plant sensitivity (E1, Table E1, 4 classes) and structure resistance (E2, Table E2, 6 classes), both reconstructed from the original EAR Rating Guide OCR text; Data!E17 = E1xE2 (real combined factor, no longer hardcoded); Data!E18 = Zone (A-E) via a user-approved mapping table (</t>
    </r>
    <r>
      <rPr>
        <sz val="10"/>
        <rFont val="Arial"/>
        <family val="2"/>
        <charset val="1"/>
      </rPr>
      <t>خیلی زیاد</t>
    </r>
    <r>
      <rPr>
        <sz val="10"/>
        <rFont val="Calibri"/>
        <charset val="1"/>
      </rPr>
      <t xml:space="preserve">-&gt;B, </t>
    </r>
    <r>
      <rPr>
        <sz val="10"/>
        <rFont val="Arial"/>
        <family val="2"/>
        <charset val="1"/>
      </rPr>
      <t>زیاد</t>
    </r>
    <r>
      <rPr>
        <sz val="10"/>
        <rFont val="Calibri"/>
        <charset val="1"/>
      </rPr>
      <t xml:space="preserve">-&gt;C, </t>
    </r>
    <r>
      <rPr>
        <sz val="10"/>
        <rFont val="Arial"/>
        <family val="2"/>
        <charset val="1"/>
      </rPr>
      <t>متوسط</t>
    </r>
    <r>
      <rPr>
        <sz val="10"/>
        <rFont val="Calibri"/>
        <charset val="1"/>
      </rPr>
      <t xml:space="preserve">-&gt;D, </t>
    </r>
    <r>
      <rPr>
        <sz val="10"/>
        <rFont val="Arial"/>
        <family val="2"/>
        <charset val="1"/>
      </rPr>
      <t>کم</t>
    </r>
    <r>
      <rPr>
        <sz val="10"/>
        <rFont val="Calibri"/>
        <charset val="1"/>
      </rPr>
      <t>-&gt;E; Zone A intentionally unused for Iran - confidence: medium, no PGA equivalence found in source for Swiss Re zone letters); Data!G17/G18 (helper cells) round E up to the nearest tabulated value (conservative assumption, not specified in source - flagged for user confirmation) and look up the monthly per-mille rate from the reconstructed Table E (sheet 'Rate-EQ-SwissRe', 13x5 grid, OCR-sourced with high confidence for the numeric progression); Data!E20 = monthly rate x project duration in months (C6) - matches the source text's explicit monthly-accrual method (EAR Rating Guide Sec 4.3.1), instead of a single flat multiplier. RATIONALE: the old 1.00/1.15 factors had no traceable source (the intended source file 'EAR_Iran_Natural_Hazard_LoadingFactor.xlsx' was never uploaded and was later deemed unreliable by the user); the new mechanism is fully traceable to (a) the original Swiss Re EAR Rating Guide OCR text for the E1/E2/Table-E structure, and (b) the official Standard 2800 4th edition (1393) Appendix 1 for city-level classification. OPEN ASSUMPTIONS carried forward for user confirmation: (1) round-UP rule for non-tabulated E values; (2) Zone A left unassigned for all of Iran; (3) 'Rate-Hazard' and 'Rate-Region' sheets kept but marked deprecated rather than deleted, for audit trail - delete on request.</t>
    </r>
  </si>
  <si>
    <t>Claude (Anthropic) - earthquake mechanism rebuild, v7</t>
  </si>
  <si>
    <r>
      <rPr>
        <sz val="10"/>
        <rFont val="Calibri"/>
        <charset val="1"/>
      </rPr>
      <t>v8 - Province-then-City cascading selector added for earthquake location (user request). BEFORE: Data!C7 was a single flat dropdown of 489 'City - Province' combined strings (Hazard-Cities-2800!B2:B490), hard to navigate. AFTER: Data!C7 = Province dropdown (30 provinces, list from new sheet 'Hazard-Province-Index'); Data!H7 = City/Town dropdown, auto-filtered to the selected province via INDIRECT(I7), where I7 looks up a safe defined-name code (HZP_01..HZP_30) for the chosen province - same INDIRECT-cascading pattern already used for Industry Group (C4) -&gt; Sub-Group (C5) in this workbook. 'Hazard-Cities-2800' was re-sorted by Province then City (was: Persian-alphabetical by city name) so each province's cities form a contiguous block usable as a defined-name range - row order change only, no data change; verified via recalc with zero errors both before and after. Data!E7 (hazard level lookup) now builds its key from BOTH H7 and C7 (=H7&amp;" - "&amp;C7) matched against Hazard-Cities-2800!B, so the 3 duplicate city names across provinces (</t>
    </r>
    <r>
      <rPr>
        <sz val="10"/>
        <rFont val="Arial"/>
        <family val="2"/>
        <charset val="1"/>
      </rPr>
      <t>آستانه</t>
    </r>
    <r>
      <rPr>
        <sz val="10"/>
        <rFont val="Calibri"/>
        <charset val="1"/>
      </rPr>
      <t xml:space="preserve">, </t>
    </r>
    <r>
      <rPr>
        <sz val="10"/>
        <rFont val="Arial"/>
        <family val="2"/>
        <charset val="1"/>
      </rPr>
      <t>خور</t>
    </r>
    <r>
      <rPr>
        <sz val="10"/>
        <rFont val="Calibri"/>
        <charset val="1"/>
      </rPr>
      <t xml:space="preserve">, </t>
    </r>
    <r>
      <rPr>
        <sz val="10"/>
        <rFont val="Arial"/>
        <family val="2"/>
        <charset val="1"/>
      </rPr>
      <t>فیروزآباد</t>
    </r>
    <r>
      <rPr>
        <sz val="10"/>
        <rFont val="Calibri"/>
        <charset val="1"/>
      </rPr>
      <t>) resolve to the correct province's row - tested explicitly for both '</t>
    </r>
    <r>
      <rPr>
        <sz val="10"/>
        <rFont val="Arial"/>
        <family val="2"/>
        <charset val="1"/>
      </rPr>
      <t>خور</t>
    </r>
    <r>
      <rPr>
        <sz val="10"/>
        <rFont val="Calibri"/>
        <charset val="1"/>
      </rPr>
      <t>' instances (</t>
    </r>
    <r>
      <rPr>
        <sz val="10"/>
        <rFont val="Arial"/>
        <family val="2"/>
        <charset val="1"/>
      </rPr>
      <t xml:space="preserve">اصفهان </t>
    </r>
    <r>
      <rPr>
        <sz val="10"/>
        <rFont val="Calibri"/>
        <charset val="1"/>
      </rPr>
      <t xml:space="preserve">-&gt; </t>
    </r>
    <r>
      <rPr>
        <sz val="10"/>
        <rFont val="Arial"/>
        <family val="2"/>
        <charset val="1"/>
      </rPr>
      <t>متوسط</t>
    </r>
    <r>
      <rPr>
        <sz val="10"/>
        <rFont val="Calibri"/>
        <charset val="1"/>
      </rPr>
      <t xml:space="preserve">, </t>
    </r>
    <r>
      <rPr>
        <sz val="10"/>
        <rFont val="Arial"/>
        <family val="2"/>
        <charset val="1"/>
      </rPr>
      <t xml:space="preserve">یزد </t>
    </r>
    <r>
      <rPr>
        <sz val="10"/>
        <rFont val="Calibri"/>
        <charset val="1"/>
      </rPr>
      <t xml:space="preserve">-&gt; </t>
    </r>
    <r>
      <rPr>
        <sz val="10"/>
        <rFont val="Arial"/>
        <family val="2"/>
        <charset val="1"/>
      </rPr>
      <t>متوسط</t>
    </r>
    <r>
      <rPr>
        <sz val="10"/>
        <rFont val="Calibri"/>
        <charset val="1"/>
      </rPr>
      <t>; both resolved via the correct row, confirmed by checking the underlying row, not merely matching output value).</t>
    </r>
  </si>
  <si>
    <t>Claude (Anthropic) - cascading Province-&gt;City selector, v8</t>
  </si>
  <si>
    <t>v9 - Province and City moved to two separate stacked rows (user request), instead of same-row helper columns. BEFORE: Data row 7 held both Province (C7) and City (H7, same row, off to the side) in one row. AFTER: Data!C7 = Province (unchanged position); a NEW Data row 8 = City/Town, auto-filtered to the Province via INDIRECT($H$8) where H8 looks up the safe defined-name code (HZP_01..HZP_30) for the selected province - same cascading pattern as before, now laid out as two stacked parameter rows like every other input in this sheet. Data!E7 (hazard level) now keys on C8&amp;" - "&amp;C7 instead of the old H7&amp;" - "&amp;C7. STRUCTURAL: inserting this row required shifting every formula and merged header range at old row 8 and below by +1 throughout the Data sheet (rows 8-83 -&gt; 9-84). This was done with a scripted row-reference shift (protecting cross-sheet references), not manual retyping. QA NOTE (transparency): openpyxl's insert_rows() silently dropped the B/D/E/F content of 8 rows during the physical shift - specifically every row that sat directly before a merged section-header row (old rows 13,23,32,39,50,56,63,76, i.e. the last content row of each lettered section, including the MD TECHNICAL RATE formula at what is now row 64). This was caught by a full before/after audit of every row (not assumed clean from a green recalc) and manually restored with correctly re-numbered formulas. Root cause: merged-range metadata was not un-merged before calling insert_rows, so the shifted values landed on cells still flagged as non-top-left merged cells and were discarded. Fully verified afterward: recalc = 0 errors, MD Technical Rate chain (D64 -&gt; E68 -&gt; E70 -&gt; E73 -&gt; E75/E77) manually checked against hand arithmetic, and both known duplicate-city cases (Isfahan/Khur, Yazd/Khur) tested to confirm the Province+City two-key lookup resolves to the correct row in each case.</t>
  </si>
  <si>
    <t>Claude (Anthropic) - Province/City stacked rows + insert_rows data-loss fix, v9</t>
  </si>
  <si>
    <t>v10 - Correction batch from full cell-by-cell Swiss Re audit (Claude). All fixes verified against original OCR source text, not the derivative database file. Rate-SubGroup (152-&gt;151 rows): (1) FIXED 01.5.4 'Gas filled cables' Code1 1.78-&gt;1.70; (2) FIXED 01.6.1 'Waterworks' Min.Rate 3.3-&gt;3.00; (3) FIXED 18.2 'Medical/lab equipment' - was showing 18.1's values (1.4/0.1/0.075/0.05/0.55/4) instead of its own (1.7/0.1/0.075/0.05/0.9/5) - merged the two duplicate 18.2 rows into one correct row; (4) REMOVED duplicate rows 06.4.1 and 13.6.1 (exact copies of 06.4/13.6, not present as separate codes in source); (5) ADDED 2 missing rows for 01.5.1 Transformer Stations 150-300 MVA (Ref.Rate 6) and above 300 MVA (Ref.Rate 7) - previously only the two smaller size bands existed. All 19 EAR_xx Group-&gt;Sub-Group defined names rebuilt from scratch to match new row boundaries; Data!E10/E11/E12/E14/E69 range references updated from $153 to $152; both changes verified via recalc (0 errors) and live cascading-dropdown tests (new transformer row + last group in table, both compute correctly). Rate-IndividualMachines (87-&gt;127 rows): ADDED 41 missing individual-machine rate rows that exist in the Swiss Re source but were absent, replaced by a generic 'use white table X' placeholder that did not match the source's actual guidance for these groups: Group 05 Metal Industry (+9 rows), 07 Timber (+4), 09 Printing (+6), 12 Plastic &amp; Rubber (+5), 13 Food Vegetable (+12, incl. 2-variant 13.0.5), 15 Food Refrigeration (+6). No Data-sheet formula references this sheet, so this addition carries zero downstream risk. Rate-Deductibles D.3: fully regenerated (152-&gt;151 rows) from the corrected Rate-SubGroup to stay in sync (this table is a static, non-live snapshot by design - flagged for periodic re-sync if Rate-SubGroup changes again). D.1 and D.2 required no changes (both were already 100% correct against source). Rate-Clauses: (1) FIXED data-entry bug - C6 'Type' column had a stray number (15) instead of text ('Extension'); (2) FIXED Contractors' Plant &amp; Equipment rate 7-10‰/5-7‰ -&gt; 8-10‰/6-7‰ per EAR Rating Guide Sec.9 point 5.7; (3) Riot &amp; Strike erection-period '50%' figure could not be verified in the uploaded source after two independent searches - left as-is but flagged in-cell as unverified/insufficient evidence rather than silently kept or invented a replacement. VERIFICATION: full structural re-scan of both rebuilt sheets confirmed zero gaps/empty rows; live formula tests at both the new transformer row and the last row of the table (group 19) matched hand calculation exactly; earthquake mechanism (v7-v9) and all other sheets confirmed untouched and unaffected.</t>
  </si>
  <si>
    <t>Claude (Anthropic) - correction batch from full audit, v10</t>
  </si>
  <si>
    <t>2026-07-20</t>
  </si>
  <si>
    <r>
      <rPr>
        <sz val="10"/>
        <rFont val="Calibri"/>
        <charset val="1"/>
      </rPr>
      <t>v11 - C-unit (1997 USD) converted to Iranian Rial (1405) as the base currency for all calculations and minimums, per user request. METHODOLOGY (new sheet 'Currency-Conversion'): Step 1 - US CPI-U inflation adjustment 1997-&gt;2026, factor ~2.07 (documented, editable, source: BLS trend, 1997 avg CPI-U ~160.5 vs early-2026 estimate ~332 - approximate, recommend re-checking against bls.gov calculator for precision). Step 2 - NIMA USD/IRR exchange rate (editable input cell, user updates each time from sana.ir/NIMA; seeded with ~1,480,135 IRR/USD from mid-Tir 1405 as a placeholder). Combined factor = inflation x FX, computed live in one cell (C10) that everything else references - changing either input auto-recalculates the whole workbook. SCOPE (only genuine currency fields were converted; ‰ rates and % loadings were NOT touched since they are dimensionless): added parallel (</t>
    </r>
    <r>
      <rPr>
        <sz val="10"/>
        <rFont val="Arial"/>
        <family val="2"/>
        <charset val="1"/>
      </rPr>
      <t>﷼</t>
    </r>
    <r>
      <rPr>
        <sz val="10"/>
        <rFont val="Calibri"/>
        <charset val="1"/>
      </rPr>
      <t>) columns next to every existing (c-units) column in Rate-SubGroup (Gen.Excess, AoG/Maint Excess), Rate-IndividualMachines (same), Rate-Deductibles D.3 (same), Rate-TPL (3x3 minimum-premium grid), and Rate-Asset (existing-property cap) - original c-unit columns preserved untouched for audit trail. LIVE FORMULA CHANGES in Data sheet (the only 6 places a currency number was hardcoded or looked up for a real calculation): E39 debris threshold (100,000 c-units -&gt; Rial equivalent via Currency-Conversion!C14); E46 TPL limit-adaptation lookup (hardcoded {0.5,1,2,4,6,8,10} array -&gt; Currency-Conversion!C18:C24 Rial-equivalent range); E49 TPL minimum-premium floor (repointed from Rate-TPL!F4:H6 to new Rial columns I4:K6); E69 indicative minimum premium (repointed from Rate-SubGroup!I to new column K, fallback default 500-&gt;Currency-Conversion!C15). All monetary input/output cell labels changed from '(c-units)' to '(</t>
    </r>
    <r>
      <rPr>
        <sz val="10"/>
        <rFont val="Arial"/>
        <family val="2"/>
        <charset val="1"/>
      </rPr>
      <t>﷼</t>
    </r>
    <r>
      <rPr>
        <sz val="10"/>
        <rFont val="Calibri"/>
        <charset val="1"/>
      </rPr>
      <t xml:space="preserve">)' throughout Data sheet (B23-B77 range). Example default values updated to Rial scale: C66 Sum Insured 10,000,000 c-units -&gt; 30,638,794,500,000 </t>
    </r>
    <r>
      <rPr>
        <sz val="10"/>
        <rFont val="Arial"/>
        <family val="2"/>
        <charset val="1"/>
      </rPr>
      <t>﷼</t>
    </r>
    <r>
      <rPr>
        <sz val="10"/>
        <rFont val="Calibri"/>
        <charset val="1"/>
      </rPr>
      <t xml:space="preserve">; C44 TPL Limit 2,000,000 c-units -&gt; 6,127,758,900,000 </t>
    </r>
    <r>
      <rPr>
        <sz val="10"/>
        <rFont val="Arial"/>
        <family val="2"/>
        <charset val="1"/>
      </rPr>
      <t xml:space="preserve">﷼ </t>
    </r>
    <r>
      <rPr>
        <sz val="10"/>
        <rFont val="Calibri"/>
        <charset val="1"/>
      </rPr>
      <t>(both at the seed conversion factor - user should overtype with their actual project figures). KNOWN LIMITATION: 13 rows in Rate-SubGroup (and their D.3 mirror) have AoG/Maint excess values expressed per unit of capacity (e.g. '150/MW (min 10,000)') rather than a plain number - these could NOT be auto-converted by formula (text, not numeric) and are flagged in-cell with the conversion factor shown for manual calculation; none of these 13 rows feed a live Data-sheet formula, so this does not affect any automated calculation, only manual underwriter reference. VERIFICATION: full recalc = 0 errors across 898 formulas; manually hand-checked the entire premium chain (E70 Gross MD, E49/E51 TPL, E73 Gross Premium, E75 Net, E77 Total Payable) against the new Rial figures - all reconcile exactly; tested debris threshold crossing with a live value above/below the new Rial threshold; confirmed the per-MW text-preservation fallback displays correctly without breaking recalc. OPEN ITEMS for user: (1) NIMA rate in Currency-Conversion!C4 is a seed value from mid-Tir 1405 - update before relying on any output; (2) CPI factor in C7 is an engineering approximation - refine via bls.gov if higher precision is needed; (3) user chose NIMA (not free-market or official) rate per explicit instruction.</t>
    </r>
  </si>
  <si>
    <t>Claude (Anthropic) - C-unit to Rial conversion, v11</t>
  </si>
  <si>
    <t>v12 - Added Riot &amp; Strike input (was missing entirely) and removed Section H 'Advisory Endorsements' (user judged it non-functional - condition-only checkboxes with no rate impact, cluttering the sheet). ADDED: Data!C33 = Riot and Strike (6.4) Fire Dept/FOC riot-and-strike rate (‰) - user-entered, since Swiss Re does NOT tabulate this rate itself, it must be sourced from the local fire insurance market; Data!C34 = period basis dropdown (Erection period / Testing-Commissioning period); Data!E34 = computed loading (rate x 100% if testing, x 50% if erection - the 50% figure is flagged in-cell as unverified/insufficient evidence per the earlier audit, not silently presented as confirmed). This loading now correctly feeds into the Extension Rate-Loadings subtotal (E35) and the MD Technical Rate (D60), tested end-to-end. REMOVED: Section H 'Advisory Endorsements' (old rows 52-57: 4 condition-only checkboxes - Debris/Silt/Erosion/Landslip, Visits Maintenance, Exclusion of EQ Damage, Exclusion of Damage to Crops - plus its EAR_Clauses-driven dropdown). None of these carried a rate impact or fed any formula, so removal has zero calculation effect. METHOD: given the net structural change (+2 rows for Riot&amp;Strike, -6 rows for Section H, non-uniform), the entire Data sheet was extracted to Python, an explicit old-row-to-new-row mapping was built and applied to every formula (protecting cross-sheet references), then the sheet was fully cleared and rewritten from the corrected dataset - avoiding openpyxl's insert_rows/delete_rows entirely (both have caused silent data loss in this workbook before, see v9 changelog). VERIFICATION: recalc = 0 errors across 899 formulas; full structural re-scan found zero orphaned/empty rows; live formula tests confirmed both Riot &amp; Strike period options compute correctly (erection = rate x 0.5, testing = rate x 1.0) and propagate correctly through E35 -&gt; D59 -&gt; D60 -&gt; downstream premium; confirmed no trace of 'ADVISORY ENDORSEMENTS' text remains anywhere in the sheet; all merged section-header ranges and data validations (including the cascading Group-&gt;Sub-Group and Province-&gt;City dropdowns) re-verified intact at their new row positions.</t>
  </si>
  <si>
    <t>Claude (Anthropic) - Riot &amp; Strike input added, Section H removed, v12</t>
  </si>
  <si>
    <r>
      <rPr>
        <sz val="10"/>
        <rFont val="Calibri"/>
        <charset val="1"/>
      </rPr>
      <t>v13 - New user-friendly front-end sheet '</t>
    </r>
    <r>
      <rPr>
        <sz val="10"/>
        <rFont val="Arial"/>
        <family val="2"/>
        <charset val="1"/>
      </rPr>
      <t>محاسبه</t>
    </r>
    <r>
      <rPr>
        <sz val="10"/>
        <rFont val="Calibri"/>
        <charset val="1"/>
      </rPr>
      <t>-</t>
    </r>
    <r>
      <rPr>
        <sz val="10"/>
        <rFont val="Arial"/>
        <family val="2"/>
        <charset val="1"/>
      </rPr>
      <t>ساده</t>
    </r>
    <r>
      <rPr>
        <sz val="10"/>
        <rFont val="Calibri"/>
        <charset val="1"/>
      </rPr>
      <t>' (Simple-Calc) added, per user request for a much simpler entry point for new/non-expert staff. ARCHITECTURE: the Data sheet's calculation engine (all 899+ formulas) was NOT modified - zero risk to accuracy. Instead, the Simple sheet became the true data-entry surface: all 33 cells in Data that previously held static user-typed values (C4,C5,C6,C7,C8,C12,C16,C17,C20,C23,D23,C27,C28,C29,C30,C31,C32,C33,C34,C38,D38,C39,D39,C40,C41,C44,C45,C46,C50,C62,C63,C70,C72) were converted to one-line formulas pointing at the corresponding Simple-sheet cell (e.g. Data!C4 = ='</t>
    </r>
    <r>
      <rPr>
        <sz val="10"/>
        <rFont val="Arial"/>
        <family val="2"/>
        <charset val="1"/>
      </rPr>
      <t>محاسبه</t>
    </r>
    <r>
      <rPr>
        <sz val="10"/>
        <rFont val="Calibri"/>
        <charset val="1"/>
      </rPr>
      <t>-</t>
    </r>
    <r>
      <rPr>
        <sz val="10"/>
        <rFont val="Arial"/>
        <family val="2"/>
        <charset val="1"/>
      </rPr>
      <t>ساده</t>
    </r>
    <r>
      <rPr>
        <sz val="10"/>
        <rFont val="Calibri"/>
        <charset val="1"/>
      </rPr>
      <t xml:space="preserve">'!C9). All dropdown validations were moved from Data to the Simple sheet's input cells (including the cascading Group-&gt;SubGroup and Province-&gt;City INDIRECT dropdowns, which still work correctly since they reference Data!J5 / Data!H8, and those helper cells still compute correctly off Data!C4/C7, which now just happen to be formulas instead of literals). LAYOUT: title bar; a live result box pinned at the top (validation status traffic-light, final MD rate ‰, final total premium </t>
    </r>
    <r>
      <rPr>
        <sz val="10"/>
        <rFont val="Arial"/>
        <family val="2"/>
        <charset val="1"/>
      </rPr>
      <t xml:space="preserve">﷼ </t>
    </r>
    <r>
      <rPr>
        <sz val="10"/>
        <rFont val="Calibri"/>
        <charset val="1"/>
      </rPr>
      <t>- both update immediately on any input change, addressing the user's 'see the rate change quickly' requirement); 5 colour-coded sections covering every single input cell that requires a user decision (project specs, amounts, common options, supplementary options - all visible, none collapsed per explicit user instruction, financial settings). Pure computed/intermediate cells (rate build-up steps, EQ factors, TPL sub-calculations, validation detail) were deliberately NOT duplicated here - they remain only in Data, since the user asked to keep only items requiring a decision and drop everything else. VERIFICATION: recalc = 0 errors across 936 formulas; live test changing Province/City to Tehran and EQ sensitivity to max on the Simple sheet correctly propagated through Data (C7 updated, EQ Zone recalculated B, rate rose 4.1-&gt;5.675, premium rose accordingly) with the result box updating instantly; status indicator correctly shows green when all 5 validation checks (Data!E75-E80) pass.</t>
    </r>
  </si>
  <si>
    <t>Claude (Anthropic) - Simple-Calc front-end sheet, v13</t>
  </si>
  <si>
    <t>⚠ DEPRECATED / غیرفعال — این شیت دیگر توسط فرمول‌های شیت Data استفاده نمی‌شود. جایگزین: 'Hazard-Cities-2800' (سطح شهرستان، استاندارد ۲۸۰۰) + 'Rate-EQ-SwissRe' (نگاشت Zone). دلیل کنارگذاری: ضرایب ۱٫۰۰/۱٫۱۵ این شیت منبع مستندی نداشتند (فایل واسطه هرگز آپلود نشد) و روش آن (ضریب ضربی یک‌باره) با روش واقعی سوئیس‌ری (نرخ ماهانه × مدت) ناسازگار بود.</t>
  </si>
  <si>
    <t>Province (Iran)</t>
  </si>
  <si>
    <t>Recommended Loading Factor</t>
  </si>
  <si>
    <t>Composite Hazard Score</t>
  </si>
  <si>
    <t>Technical Justification — Main Driver</t>
  </si>
  <si>
    <t>تهران</t>
  </si>
  <si>
    <t>گسل‌های فعال متعدد (گسل شمال تهران) + فرونشست شدید (تا ۳۱cm/سال در جنوب‌غرب)</t>
  </si>
  <si>
    <t>البرز</t>
  </si>
  <si>
    <t>مجاورت با کمربند لرزه‌ای تهران + فرونشست بسیار شدید (نظرآباد ۲۷-۲۸cm/سال)</t>
  </si>
  <si>
    <t>زلزله‌خیزی متوسط + عدم پوشش رسمی فرونشست/زمین‌لغزش</t>
  </si>
  <si>
    <t>مرکزی</t>
  </si>
  <si>
    <t>فرونشست خیلی زیاد (&gt;17cm/سال) در کنار زلزله‌خیزی متوسط</t>
  </si>
  <si>
    <t>قزوین</t>
  </si>
  <si>
    <t>زلزله‌خیزی متوسط (برون‌یابی) - نیازمند مطالعهٔ اختصاصی استاندارد ۲۸۰۰</t>
  </si>
  <si>
    <t>گیلان</t>
  </si>
  <si>
    <t>زلزله‌خیزی زیاد + مخاطرهٔ سیل/بارش سنگین شمال کشور</t>
  </si>
  <si>
    <t>اردبیل</t>
  </si>
  <si>
    <t>زلزله‌خیزی زیاد + فرونشست دشت ویلکیج (وضعیت بحرانی)</t>
  </si>
  <si>
    <t>زنجان</t>
  </si>
  <si>
    <t>زلزله‌خیزی زیاد + فرونشست دشت‌های استان</t>
  </si>
  <si>
    <t>آذربایجان شرقی</t>
  </si>
  <si>
    <t>زلزله‌خیزی خیلی زیاد (تبریز) + بالاترین نرخ فرونشست کشور (مرند ۱۸.۹cm/سال)</t>
  </si>
  <si>
    <t>آذربایجان غربی</t>
  </si>
  <si>
    <t>زلزله‌خیزی زیاد (ارومیه، طبق ویرایش ۴ از متوسط به زیاد ارتقا یافت)</t>
  </si>
  <si>
    <t>کردستان</t>
  </si>
  <si>
    <t>فرونشست زیاد + زلزله‌خیزی متوسط (برون‌یابی)</t>
  </si>
  <si>
    <t>همدان</t>
  </si>
  <si>
    <t>فرونشست زیاد (دشت کبودراهنگ/فامنین) + زلزله‌خیزی متوسط</t>
  </si>
  <si>
    <t>کرمانشاه</t>
  </si>
  <si>
    <t>سیل با احتمال متوسط (اعلام رسمی وزارت نیرو) + زلزله‌خیزی متوسط</t>
  </si>
  <si>
    <t>ایلام</t>
  </si>
  <si>
    <t>سیل با احتمال متوسط (اعلام رسمی) + زلزله‌خیزی متوسط</t>
  </si>
  <si>
    <t>لرستان</t>
  </si>
  <si>
    <t>زلزله‌خیزی زیاد + سیل متوسط + فرونشست گزارش‌شده</t>
  </si>
  <si>
    <t>خوزستان</t>
  </si>
  <si>
    <t>سیل با احتمال بالا (اعلام رسمی) + فرونشست زیاد + تنش آبی/خشکسالی</t>
  </si>
  <si>
    <t>چهارمحال و بختیاری</t>
  </si>
  <si>
    <t>سیل با احتمال بالا (اعلام رسمی وزارت نیرو)</t>
  </si>
  <si>
    <t>کهگیلویه و بویراحمد</t>
  </si>
  <si>
    <t>بوشهر</t>
  </si>
  <si>
    <t>سیل با احتمال بالا + زلزله‌خیزی زیاد (استاندارد ۲۸۰۰)</t>
  </si>
  <si>
    <t>فارس</t>
  </si>
  <si>
    <t>سیل با احتمال بالا (سیل مرگبار دسامبر۲۰۲۵، جهرم) + فرونشست خیلی زیاد</t>
  </si>
  <si>
    <t>هرمزگان</t>
  </si>
  <si>
    <t>زلزله‌خیزی زیاد + سیل با احتمال بالا + مواجههٔ چرخند حاره‌ای مکران</t>
  </si>
  <si>
    <t>سیستان و بلوچستان</t>
  </si>
  <si>
    <t>سیلاب‌های ناگهانی مکرر (۲۰۲۴-۲۰۲۵) + بادهای شدید ۱۲۰روزه + خشکسالی مزمن</t>
  </si>
  <si>
    <t>کرمان</t>
  </si>
  <si>
    <t>فرونشست شدید جنوب استان (&gt;17cm/سال) + وسعت اقلیم خشک</t>
  </si>
  <si>
    <t>یزد</t>
  </si>
  <si>
    <t>فرونشست خیلی زیاد (&gt;17cm/سال) در کنار اقلیم کاملاً خشک</t>
  </si>
  <si>
    <t>اصفهان</t>
  </si>
  <si>
    <t>فرونشست زیاد + بحران آب زاینده‌رود مستند</t>
  </si>
  <si>
    <t>سمنان</t>
  </si>
  <si>
    <t>داده رسمی محدود؛ زلزله‌خیزی متوسط برون‌یابی‌شده از تهران</t>
  </si>
  <si>
    <t>مازندران</t>
  </si>
  <si>
    <t>زلزله‌خیزی زیاد + هشدارهای مکرر سیل/بارش شمال کشور</t>
  </si>
  <si>
    <t>گلستان</t>
  </si>
  <si>
    <t>سیل/کولاک مرگبار دسامبر۲۰۲۵ + زلزله‌خیزی زیاد (برون‌یابی) + موضوع مطالعهٔ اختصاصی زمین‌لغزش GSI</t>
  </si>
  <si>
    <t>خراسان شمالی</t>
  </si>
  <si>
    <t>زلزله‌خیزی زیاد + فرونشست بحرانی (۸ از ۱۱ دشت استان)</t>
  </si>
  <si>
    <t>خراسان رضوی</t>
  </si>
  <si>
    <t>فرونشست خیلی زیاد (دشت مشهد/نیشابور) + سیل ناگهانی مه۲۰۲۴</t>
  </si>
  <si>
    <t>خراسان جنوبی</t>
  </si>
  <si>
    <t>⚠ تناقض ۱۹۹۷ در برابر امروز: استاندارد۲۸۰۰ زلزله‌خیزی «زیاد» می‌دهد، نقشهٔ سوییس‌ری۱۹۹۷ «Zone E-کم» — نیازمند بازنگری فوری</t>
  </si>
  <si>
    <t>Source: EAR_Iran_Natural_Hazard_LoadingFactor.xlsx / Hazard_Table, imported 2026-07-08. Replaces the Zone A-E system in 'Rate-Region' (left in place, no longer referenced).</t>
  </si>
  <si>
    <t>ردیف</t>
  </si>
  <si>
    <t>کلید یکتا (برای دراپ‌داون Data!C7)</t>
  </si>
  <si>
    <t>شهرستان/نقطه جمعیتی</t>
  </si>
  <si>
    <t>خطر نسبی زلزله (۲۸۰۰)</t>
  </si>
  <si>
    <t>Zone سوئیس‌ری معادل (مصوب کاربر)</t>
  </si>
  <si>
    <t>صفحه منبع اسکن</t>
  </si>
  <si>
    <t>یادداشت</t>
  </si>
  <si>
    <t>آذرشهر — آذربایجان شرقی</t>
  </si>
  <si>
    <t>آذرشهر</t>
  </si>
  <si>
    <t>زیاد</t>
  </si>
  <si>
    <t>ص 3</t>
  </si>
  <si>
    <t>اهر — آذربایجان شرقی</t>
  </si>
  <si>
    <t>اهر</t>
  </si>
  <si>
    <t>متوسط</t>
  </si>
  <si>
    <t>ص 7</t>
  </si>
  <si>
    <t>بستان آباد — آذربایجان شرقی</t>
  </si>
  <si>
    <t>بستان آباد</t>
  </si>
  <si>
    <t>خیلی زیاد</t>
  </si>
  <si>
    <t>ص 9</t>
  </si>
  <si>
    <t>بناب — آذربایجان شرقی</t>
  </si>
  <si>
    <t>بناب</t>
  </si>
  <si>
    <t>ص 12</t>
  </si>
  <si>
    <t>تبریز — آذربایجان شرقی</t>
  </si>
  <si>
    <t>تبریز</t>
  </si>
  <si>
    <t>ص 15</t>
  </si>
  <si>
    <t>تسوج — آذربایجان شرقی</t>
  </si>
  <si>
    <t>تسوج</t>
  </si>
  <si>
    <t>جلفا — آذربایجان شرقی</t>
  </si>
  <si>
    <t>جلفا</t>
  </si>
  <si>
    <t>ص 16</t>
  </si>
  <si>
    <t>زنوز — آذربایجان شرقی</t>
  </si>
  <si>
    <t>زنوز</t>
  </si>
  <si>
    <t>ص 27</t>
  </si>
  <si>
    <t>سراب — آذربایجان شرقی</t>
  </si>
  <si>
    <t>سراب</t>
  </si>
  <si>
    <t>شبستر — آذربایجان شرقی</t>
  </si>
  <si>
    <t>شبستر</t>
  </si>
  <si>
    <t>ص 33</t>
  </si>
  <si>
    <t>شرفخانه — آذربایجان شرقی</t>
  </si>
  <si>
    <t>شرفخانه</t>
  </si>
  <si>
    <t>صوفیان — آذربایجان شرقی</t>
  </si>
  <si>
    <t>صوفیان</t>
  </si>
  <si>
    <t>عجب شیر — آذربایجان شرقی</t>
  </si>
  <si>
    <t>عجب شیر</t>
  </si>
  <si>
    <t>ص 34</t>
  </si>
  <si>
    <t>قره آغاج — آذربایجان شرقی</t>
  </si>
  <si>
    <t>قره آغاج</t>
  </si>
  <si>
    <t>ص 37</t>
  </si>
  <si>
    <t>مراغه — آذربایجان شرقی</t>
  </si>
  <si>
    <t>مراغه</t>
  </si>
  <si>
    <t>ص 46</t>
  </si>
  <si>
    <t>مرند — آذربایجان شرقی</t>
  </si>
  <si>
    <t>مرند</t>
  </si>
  <si>
    <t>ص 48</t>
  </si>
  <si>
    <t>میانه — آذربایجان شرقی</t>
  </si>
  <si>
    <t>میانه</t>
  </si>
  <si>
    <t>هریس — آذربایجان شرقی</t>
  </si>
  <si>
    <t>هریس</t>
  </si>
  <si>
    <t>ص 51</t>
  </si>
  <si>
    <t>هشترود — آذربایجان شرقی</t>
  </si>
  <si>
    <t>هشترود</t>
  </si>
  <si>
    <t>ص 52</t>
  </si>
  <si>
    <t>ورزقان — آذربایجان شرقی</t>
  </si>
  <si>
    <t>ورزقان</t>
  </si>
  <si>
    <t>⚠ شمارهٔ ردیف منبع دوپهلو بود؛ نام/سطح خطر مطمئن است.</t>
  </si>
  <si>
    <t>کلیبر — آذربایجان شرقی</t>
  </si>
  <si>
    <t>کلیبر</t>
  </si>
  <si>
    <t>ص 39</t>
  </si>
  <si>
    <t>ارومیه — آذربایجان غربی</t>
  </si>
  <si>
    <t>ارومیه</t>
  </si>
  <si>
    <t>ص 6</t>
  </si>
  <si>
    <t>اشنویه — آذربایجان غربی</t>
  </si>
  <si>
    <t>اشنویه</t>
  </si>
  <si>
    <t>بوکان — آذربایجان غربی</t>
  </si>
  <si>
    <t>بوکان</t>
  </si>
  <si>
    <t>تکاب — آذربایجان غربی</t>
  </si>
  <si>
    <t>تکاب</t>
  </si>
  <si>
    <t>کم</t>
  </si>
  <si>
    <t>خوی — آذربایجان غربی</t>
  </si>
  <si>
    <t>خوی</t>
  </si>
  <si>
    <t>ص 21</t>
  </si>
  <si>
    <t>سردشت — آذربایجان غربی</t>
  </si>
  <si>
    <t>سردشت</t>
  </si>
  <si>
    <t>ص 28</t>
  </si>
  <si>
    <t>سرو — آذربایجان غربی</t>
  </si>
  <si>
    <t>سرو</t>
  </si>
  <si>
    <t>ص 30</t>
  </si>
  <si>
    <t>سلماس — آذربایجان غربی</t>
  </si>
  <si>
    <t>سلماس</t>
  </si>
  <si>
    <t>سیه چشمه — آذربایجان غربی</t>
  </si>
  <si>
    <t>سیه چشمه</t>
  </si>
  <si>
    <t>شاهین دژ — آذربایجان غربی</t>
  </si>
  <si>
    <t>شاهین دژ</t>
  </si>
  <si>
    <t>ص 31</t>
  </si>
  <si>
    <t>قره ضیاءالدین — آذربایجان غربی</t>
  </si>
  <si>
    <t>قره ضیاءالدین</t>
  </si>
  <si>
    <t>قطور — آذربایجان غربی</t>
  </si>
  <si>
    <t>قطور</t>
  </si>
  <si>
    <t>ماکو — آذربایجان غربی</t>
  </si>
  <si>
    <t>ماکو</t>
  </si>
  <si>
    <t>ص 45</t>
  </si>
  <si>
    <t>مهاباد — آذربایجان غربی</t>
  </si>
  <si>
    <t>مهاباد</t>
  </si>
  <si>
    <t>میاندوآب — آذربایجان غربی</t>
  </si>
  <si>
    <t>میاندوآب</t>
  </si>
  <si>
    <t>نقده — آذربایجان غربی</t>
  </si>
  <si>
    <t>نقده</t>
  </si>
  <si>
    <t>پلدشت — آذربایجان غربی</t>
  </si>
  <si>
    <t>پلدشت</t>
  </si>
  <si>
    <t>پیرانشهر — آذربایجان غربی</t>
  </si>
  <si>
    <t>پیرانشهر</t>
  </si>
  <si>
    <t>کلیسا کندی — آذربایجان غربی</t>
  </si>
  <si>
    <t>کلیسا کندی</t>
  </si>
  <si>
    <t>اردبیل — اردبیل</t>
  </si>
  <si>
    <t>اصلاندوز — اردبیل</t>
  </si>
  <si>
    <t>اصلاندوز</t>
  </si>
  <si>
    <t>بیله سوار — اردبیل</t>
  </si>
  <si>
    <t>بیله سوار</t>
  </si>
  <si>
    <t>ص 13</t>
  </si>
  <si>
    <t>خلخال — اردبیل</t>
  </si>
  <si>
    <t>خلخال</t>
  </si>
  <si>
    <t>ص 19</t>
  </si>
  <si>
    <t>سرعین — اردبیل</t>
  </si>
  <si>
    <t>سرعین</t>
  </si>
  <si>
    <t>فیروزآباد — اردبیل</t>
  </si>
  <si>
    <t>فیروزآباد</t>
  </si>
  <si>
    <t>ص 36</t>
  </si>
  <si>
    <t>لاهرود — اردبیل</t>
  </si>
  <si>
    <t>لاهرود</t>
  </si>
  <si>
    <t>مشکین شهر — اردبیل</t>
  </si>
  <si>
    <t>مشکین شهر</t>
  </si>
  <si>
    <t>نمین — اردبیل</t>
  </si>
  <si>
    <t>نمین</t>
  </si>
  <si>
    <t>نیر — اردبیل</t>
  </si>
  <si>
    <t>نیر</t>
  </si>
  <si>
    <t>هشتجین — اردبیل</t>
  </si>
  <si>
    <t>هشتجین</t>
  </si>
  <si>
    <t>پارس آباد — اردبیل</t>
  </si>
  <si>
    <t>پارس آباد</t>
  </si>
  <si>
    <t>کلور — اردبیل</t>
  </si>
  <si>
    <t>کلور</t>
  </si>
  <si>
    <t>گرمی — اردبیل</t>
  </si>
  <si>
    <t>گرمی</t>
  </si>
  <si>
    <t>ص 43</t>
  </si>
  <si>
    <t>گیوی — اردبیل</t>
  </si>
  <si>
    <t>گیوی</t>
  </si>
  <si>
    <t>آران — اصفهان</t>
  </si>
  <si>
    <t>آران</t>
  </si>
  <si>
    <t>ابیانه — اصفهان</t>
  </si>
  <si>
    <t>ابیانه</t>
  </si>
  <si>
    <t>اردستان — اصفهان</t>
  </si>
  <si>
    <t>اردستان</t>
  </si>
  <si>
    <t>اصفهان — اصفهان</t>
  </si>
  <si>
    <t>انارک — اصفهان</t>
  </si>
  <si>
    <t>انارک</t>
  </si>
  <si>
    <t>بادرود — اصفهان</t>
  </si>
  <si>
    <t>بادرود</t>
  </si>
  <si>
    <t>تیران — اصفهان</t>
  </si>
  <si>
    <t>تیران</t>
  </si>
  <si>
    <t>جندق — اصفهان</t>
  </si>
  <si>
    <t>جندق</t>
  </si>
  <si>
    <t>ص 18</t>
  </si>
  <si>
    <t>خوانسار — اصفهان</t>
  </si>
  <si>
    <t>خوانسار</t>
  </si>
  <si>
    <t>خور — اصفهان</t>
  </si>
  <si>
    <t>خور</t>
  </si>
  <si>
    <t>داران — اصفهان</t>
  </si>
  <si>
    <t>داران</t>
  </si>
  <si>
    <t>دهاقان — اصفهان</t>
  </si>
  <si>
    <t>دهاقان</t>
  </si>
  <si>
    <t>ص 22</t>
  </si>
  <si>
    <t>زفره — اصفهان</t>
  </si>
  <si>
    <t>زفره</t>
  </si>
  <si>
    <t>زواره — اصفهان</t>
  </si>
  <si>
    <t>زواره</t>
  </si>
  <si>
    <t>سمیرم — اصفهان</t>
  </si>
  <si>
    <t>سمیرم</t>
  </si>
  <si>
    <t>شاهین شهر — اصفهان</t>
  </si>
  <si>
    <t>شاهین شهر</t>
  </si>
  <si>
    <t>شهر رضا — اصفهان</t>
  </si>
  <si>
    <t>شهر رضا</t>
  </si>
  <si>
    <t>علویجه — اصفهان</t>
  </si>
  <si>
    <t>علویجه</t>
  </si>
  <si>
    <t>فریدون شهر — اصفهان</t>
  </si>
  <si>
    <t>فریدون شهر</t>
  </si>
  <si>
    <t>فین — اصفهان</t>
  </si>
  <si>
    <t>فین</t>
  </si>
  <si>
    <t>قمصر — اصفهان</t>
  </si>
  <si>
    <t>قمصر</t>
  </si>
  <si>
    <t>مبارکه — اصفهان</t>
  </si>
  <si>
    <t>مبارکه</t>
  </si>
  <si>
    <t>میمه — اصفهان</t>
  </si>
  <si>
    <t>میمه</t>
  </si>
  <si>
    <t>ص 49</t>
  </si>
  <si>
    <t>نائین — اصفهان</t>
  </si>
  <si>
    <t>نائین</t>
  </si>
  <si>
    <t>نجف آباد — اصفهان</t>
  </si>
  <si>
    <t>نجف آباد</t>
  </si>
  <si>
    <t>نطنز — اصفهان</t>
  </si>
  <si>
    <t>نطنز</t>
  </si>
  <si>
    <t>ورزنه — اصفهان</t>
  </si>
  <si>
    <t>ورزنه</t>
  </si>
  <si>
    <t>چادگان — اصفهان</t>
  </si>
  <si>
    <t>چادگان</t>
  </si>
  <si>
    <t>چرمهین — اصفهان</t>
  </si>
  <si>
    <t>چرمهین</t>
  </si>
  <si>
    <t>کاشان — اصفهان</t>
  </si>
  <si>
    <t>کاشان</t>
  </si>
  <si>
    <t>کوهپایه — اصفهان</t>
  </si>
  <si>
    <t>کوهپایه</t>
  </si>
  <si>
    <t>ص 42</t>
  </si>
  <si>
    <t>گلپایگان — اصفهان</t>
  </si>
  <si>
    <t>گلپایگان</t>
  </si>
  <si>
    <t>آبدانان — ایلام</t>
  </si>
  <si>
    <t>آبدانان</t>
  </si>
  <si>
    <t>ایلام — ایلام</t>
  </si>
  <si>
    <t>ایوان — ایلام</t>
  </si>
  <si>
    <t>ایوان</t>
  </si>
  <si>
    <t>دره شهر — ایلام</t>
  </si>
  <si>
    <t>دره شهر</t>
  </si>
  <si>
    <t>دشت عباس — ایلام</t>
  </si>
  <si>
    <t>دشت عباس</t>
  </si>
  <si>
    <t>دهلران — ایلام</t>
  </si>
  <si>
    <t>دهلران</t>
  </si>
  <si>
    <t>مهران — ایلام</t>
  </si>
  <si>
    <t>مهران</t>
  </si>
  <si>
    <t>موسیان — ایلام</t>
  </si>
  <si>
    <t>موسیان</t>
  </si>
  <si>
    <t>اهرم — بوشهر</t>
  </si>
  <si>
    <t>اهرم</t>
  </si>
  <si>
    <t>برازجان — بوشهر</t>
  </si>
  <si>
    <t>برازجان</t>
  </si>
  <si>
    <t>بندر دیر — بوشهر</t>
  </si>
  <si>
    <t>بندر دیر</t>
  </si>
  <si>
    <t>بندر دیلم — بوشهر</t>
  </si>
  <si>
    <t>بندر دیلم</t>
  </si>
  <si>
    <t>بندر طاهری — بوشهر</t>
  </si>
  <si>
    <t>بندر طاهری</t>
  </si>
  <si>
    <t>بندر عسلویه — بوشهر</t>
  </si>
  <si>
    <t>بندر عسلویه</t>
  </si>
  <si>
    <t>بندر مقام — بوشهر</t>
  </si>
  <si>
    <t>بندر مقام</t>
  </si>
  <si>
    <t>بندر گناوه — بوشهر</t>
  </si>
  <si>
    <t>بندر گناوه</t>
  </si>
  <si>
    <t>بوشهر — بوشهر</t>
  </si>
  <si>
    <t>جم — بوشهر</t>
  </si>
  <si>
    <t>جم</t>
  </si>
  <si>
    <t>خارک — بوشهر</t>
  </si>
  <si>
    <t>خارک</t>
  </si>
  <si>
    <t>خورموج — بوشهر</t>
  </si>
  <si>
    <t>خورموج</t>
  </si>
  <si>
    <t>دالکی — بوشهر</t>
  </si>
  <si>
    <t>دالکی</t>
  </si>
  <si>
    <t>دلوار — بوشهر</t>
  </si>
  <si>
    <t>دلوار</t>
  </si>
  <si>
    <t>ریز — بوشهر</t>
  </si>
  <si>
    <t>ریز</t>
  </si>
  <si>
    <t>ص 25</t>
  </si>
  <si>
    <t>شبانکاره — بوشهر</t>
  </si>
  <si>
    <t>شبانکاره</t>
  </si>
  <si>
    <t>طاهری — بوشهر</t>
  </si>
  <si>
    <t>طاهری</t>
  </si>
  <si>
    <t>عسلویه — بوشهر</t>
  </si>
  <si>
    <t>عسلویه</t>
  </si>
  <si>
    <t>کنگان — بوشهر</t>
  </si>
  <si>
    <t>کنگان</t>
  </si>
  <si>
    <t>ص 40</t>
  </si>
  <si>
    <t>گناوه — بوشهر</t>
  </si>
  <si>
    <t>گناوه</t>
  </si>
  <si>
    <t>ارجمند — تهران</t>
  </si>
  <si>
    <t>ارجمند</t>
  </si>
  <si>
    <t>اشتهارد — تهران</t>
  </si>
  <si>
    <t>اشتهارد</t>
  </si>
  <si>
    <t>بومهن — تهران</t>
  </si>
  <si>
    <t>بومهن</t>
  </si>
  <si>
    <t>تهران — تهران</t>
  </si>
  <si>
    <t>حسن آباد — تهران</t>
  </si>
  <si>
    <t>حسن آباد</t>
  </si>
  <si>
    <t>دماوند — تهران</t>
  </si>
  <si>
    <t>دماوند</t>
  </si>
  <si>
    <t>دیزین — تهران</t>
  </si>
  <si>
    <t>دیزین</t>
  </si>
  <si>
    <t>ص 24</t>
  </si>
  <si>
    <t>رباط کریم — تهران</t>
  </si>
  <si>
    <t>رباط کریم</t>
  </si>
  <si>
    <t>رودهن — تهران</t>
  </si>
  <si>
    <t>رودهن</t>
  </si>
  <si>
    <t>ری — تهران</t>
  </si>
  <si>
    <t>ری</t>
  </si>
  <si>
    <t>سربندان — تهران</t>
  </si>
  <si>
    <t>سربندان</t>
  </si>
  <si>
    <t>سولقان — تهران</t>
  </si>
  <si>
    <t>سولقان</t>
  </si>
  <si>
    <t>شهر جدید پرند — تهران</t>
  </si>
  <si>
    <t>شهر جدید پرند</t>
  </si>
  <si>
    <t>شهریار — تهران</t>
  </si>
  <si>
    <t>شهریار</t>
  </si>
  <si>
    <t>طالقان — تهران</t>
  </si>
  <si>
    <t>طالقان</t>
  </si>
  <si>
    <t>فشم — تهران</t>
  </si>
  <si>
    <t>فشم</t>
  </si>
  <si>
    <t>فیروزکوه — تهران</t>
  </si>
  <si>
    <t>فیروزکوه</t>
  </si>
  <si>
    <t>لواسان — تهران</t>
  </si>
  <si>
    <t>لواسان</t>
  </si>
  <si>
    <t>مردآباد — تهران</t>
  </si>
  <si>
    <t>مردآباد</t>
  </si>
  <si>
    <t>مشاء — تهران</t>
  </si>
  <si>
    <t>مشاء</t>
  </si>
  <si>
    <t>هشتگرد — تهران</t>
  </si>
  <si>
    <t>هشتگرد</t>
  </si>
  <si>
    <t>ورامین — تهران</t>
  </si>
  <si>
    <t>ورامین</t>
  </si>
  <si>
    <t>پیشوا — تهران</t>
  </si>
  <si>
    <t>پیشوا</t>
  </si>
  <si>
    <t>کرج — تهران</t>
  </si>
  <si>
    <t>کرج</t>
  </si>
  <si>
    <t>کیلان — تهران</t>
  </si>
  <si>
    <t>کیلان</t>
  </si>
  <si>
    <t>گچسر — تهران</t>
  </si>
  <si>
    <t>گچسر</t>
  </si>
  <si>
    <t>بیرجند — خراسان جنوبی</t>
  </si>
  <si>
    <t>بیرجند</t>
  </si>
  <si>
    <t>تایباد — خراسان جنوبی</t>
  </si>
  <si>
    <t>تایباد</t>
  </si>
  <si>
    <t>خضری — خراسان جنوبی</t>
  </si>
  <si>
    <t>خضری</t>
  </si>
  <si>
    <t>خواف — خراسان جنوبی</t>
  </si>
  <si>
    <t>خواف</t>
  </si>
  <si>
    <t>خوسف — خراسان جنوبی</t>
  </si>
  <si>
    <t>خوسف</t>
  </si>
  <si>
    <t>دشت بیاض — خراسان جنوبی</t>
  </si>
  <si>
    <t>دشت بیاض</t>
  </si>
  <si>
    <t>سده — خراسان جنوبی</t>
  </si>
  <si>
    <t>سده</t>
  </si>
  <si>
    <t>سرایان — خراسان جنوبی</t>
  </si>
  <si>
    <t>سرایان</t>
  </si>
  <si>
    <t>سربیشه — خراسان جنوبی</t>
  </si>
  <si>
    <t>سربیشه</t>
  </si>
  <si>
    <t>شاهرخت — خراسان جنوبی</t>
  </si>
  <si>
    <t>شاهرخت</t>
  </si>
  <si>
    <t>قائن — خراسان جنوبی</t>
  </si>
  <si>
    <t>قائن</t>
  </si>
  <si>
    <t>نهبندان — خراسان جنوبی</t>
  </si>
  <si>
    <t>نهبندان</t>
  </si>
  <si>
    <t>کولی — خراسان جنوبی</t>
  </si>
  <si>
    <t>کولی</t>
  </si>
  <si>
    <t>باجگیران — خراسان رضوی</t>
  </si>
  <si>
    <t>باجگیران</t>
  </si>
  <si>
    <t>بجستان — خراسان رضوی</t>
  </si>
  <si>
    <t>بجستان</t>
  </si>
  <si>
    <t>بردسکن — خراسان رضوی</t>
  </si>
  <si>
    <t>بردسکن</t>
  </si>
  <si>
    <t>بشرویه — خراسان رضوی</t>
  </si>
  <si>
    <t>بشرویه</t>
  </si>
  <si>
    <t>ص 10</t>
  </si>
  <si>
    <t>تربت جام — خراسان رضوی</t>
  </si>
  <si>
    <t>تربت جام</t>
  </si>
  <si>
    <t>تربت حیدریه — خراسان رضوی</t>
  </si>
  <si>
    <t>تربت حیدریه</t>
  </si>
  <si>
    <t>جغتای — خراسان رضوی</t>
  </si>
  <si>
    <t>جغتای</t>
  </si>
  <si>
    <t>درونه — خراسان رضوی</t>
  </si>
  <si>
    <t>درونه</t>
  </si>
  <si>
    <t>درگز — خراسان رضوی</t>
  </si>
  <si>
    <t>درگز</t>
  </si>
  <si>
    <t>رشتخوار — خراسان رضوی</t>
  </si>
  <si>
    <t>رشتخوار</t>
  </si>
  <si>
    <t>سبزوار — خراسان رضوی</t>
  </si>
  <si>
    <t>سبزوار</t>
  </si>
  <si>
    <t>سرخس — خراسان رضوی</t>
  </si>
  <si>
    <t>سرخس</t>
  </si>
  <si>
    <t>سنگان — خراسان رضوی</t>
  </si>
  <si>
    <t>سنگان</t>
  </si>
  <si>
    <t>شاندیز — خراسان رضوی</t>
  </si>
  <si>
    <t>شاندیز</t>
  </si>
  <si>
    <t>صالح آباد — خراسان رضوی</t>
  </si>
  <si>
    <t>صالح آباد</t>
  </si>
  <si>
    <t>فردوس — خراسان رضوی</t>
  </si>
  <si>
    <t>فردوس</t>
  </si>
  <si>
    <t>فریمان — خراسان رضوی</t>
  </si>
  <si>
    <t>فریمان</t>
  </si>
  <si>
    <t>قوچان — خراسان رضوی</t>
  </si>
  <si>
    <t>قوچان</t>
  </si>
  <si>
    <t>مرزداران — خراسان رضوی</t>
  </si>
  <si>
    <t>مرزداران</t>
  </si>
  <si>
    <t>مشهد — خراسان رضوی</t>
  </si>
  <si>
    <t>مشهد</t>
  </si>
  <si>
    <t>نیشابور — خراسان رضوی</t>
  </si>
  <si>
    <t>نیشابور</t>
  </si>
  <si>
    <t>چناران — خراسان رضوی</t>
  </si>
  <si>
    <t>چناران</t>
  </si>
  <si>
    <t>کاخک — خراسان رضوی</t>
  </si>
  <si>
    <t>کاخک</t>
  </si>
  <si>
    <t>کاشمر — خراسان رضوی</t>
  </si>
  <si>
    <t>کاشمر</t>
  </si>
  <si>
    <t>کلات نادری — خراسان رضوی</t>
  </si>
  <si>
    <t>کلات نادری</t>
  </si>
  <si>
    <t>گناباد — خراسان رضوی</t>
  </si>
  <si>
    <t>گناباد</t>
  </si>
  <si>
    <t>آشخانه — خراسان شمالی</t>
  </si>
  <si>
    <t>آشخانه</t>
  </si>
  <si>
    <t>اسفراین — خراسان شمالی</t>
  </si>
  <si>
    <t>اسفراین</t>
  </si>
  <si>
    <t>بجنورد — خراسان شمالی</t>
  </si>
  <si>
    <t>بجنورد</t>
  </si>
  <si>
    <t>جاجرم — خراسان شمالی</t>
  </si>
  <si>
    <t>جاجرم</t>
  </si>
  <si>
    <t>رباط — خراسان شمالی</t>
  </si>
  <si>
    <t>رباط</t>
  </si>
  <si>
    <t>شیروان — خراسان شمالی</t>
  </si>
  <si>
    <t>شیروان</t>
  </si>
  <si>
    <t>فاروج — خراسان شمالی</t>
  </si>
  <si>
    <t>فاروج</t>
  </si>
  <si>
    <t>چمن بید — خراسان شمالی</t>
  </si>
  <si>
    <t>چمن بید</t>
  </si>
  <si>
    <t>گرمخان — خراسان شمالی</t>
  </si>
  <si>
    <t>گرمخان</t>
  </si>
  <si>
    <t>گیفان — خراسان شمالی</t>
  </si>
  <si>
    <t>گیفان</t>
  </si>
  <si>
    <t>آبادان — خوزستان</t>
  </si>
  <si>
    <t>آبادان</t>
  </si>
  <si>
    <t>آغاجاری — خوزستان</t>
  </si>
  <si>
    <t>آغاجاری</t>
  </si>
  <si>
    <t>اروندکنار — خوزستان</t>
  </si>
  <si>
    <t>اروندکنار</t>
  </si>
  <si>
    <t>امیدیه — خوزستان</t>
  </si>
  <si>
    <t>امیدیه</t>
  </si>
  <si>
    <t>اندیمشک — خوزستان</t>
  </si>
  <si>
    <t>اندیمشک</t>
  </si>
  <si>
    <t>اهواز — خوزستان</t>
  </si>
  <si>
    <t>اهواز</t>
  </si>
  <si>
    <t>ایذه — خوزستان</t>
  </si>
  <si>
    <t>ایذه</t>
  </si>
  <si>
    <t>باغملک — خوزستان</t>
  </si>
  <si>
    <t>باغملک</t>
  </si>
  <si>
    <t>بستان — خوزستان</t>
  </si>
  <si>
    <t>بستان</t>
  </si>
  <si>
    <t>بندر امام خمینی — خوزستان</t>
  </si>
  <si>
    <t>بندر امام خمینی</t>
  </si>
  <si>
    <t>بندر ماهشهر — خوزستان</t>
  </si>
  <si>
    <t>بندر ماهشهر</t>
  </si>
  <si>
    <t>بهبهان — خوزستان</t>
  </si>
  <si>
    <t>بهبهان</t>
  </si>
  <si>
    <t>حمیدیه — خوزستان</t>
  </si>
  <si>
    <t>حمیدیه</t>
  </si>
  <si>
    <t>خرمشهر — خوزستان</t>
  </si>
  <si>
    <t>خرمشهر</t>
  </si>
  <si>
    <t>دزفول — خوزستان</t>
  </si>
  <si>
    <t>دزفول</t>
  </si>
  <si>
    <t>دهدز — خوزستان</t>
  </si>
  <si>
    <t>دهدز</t>
  </si>
  <si>
    <t>رامشیر — خوزستان</t>
  </si>
  <si>
    <t>رامشیر</t>
  </si>
  <si>
    <t>رامهرمز — خوزستان</t>
  </si>
  <si>
    <t>رامهرمز</t>
  </si>
  <si>
    <t>سربندر — خوزستان</t>
  </si>
  <si>
    <t>سربندر</t>
  </si>
  <si>
    <t>سوسنگرد — خوزستان</t>
  </si>
  <si>
    <t>سوسنگرد</t>
  </si>
  <si>
    <t>شادگان — خوزستان</t>
  </si>
  <si>
    <t>شادگان</t>
  </si>
  <si>
    <t>شوش — خوزستان</t>
  </si>
  <si>
    <t>شوش</t>
  </si>
  <si>
    <t>شوشتر — خوزستان</t>
  </si>
  <si>
    <t>شوشتر</t>
  </si>
  <si>
    <t>لالی — خوزستان</t>
  </si>
  <si>
    <t>لالی</t>
  </si>
  <si>
    <t>ماهشهر — خوزستان</t>
  </si>
  <si>
    <t>ماهشهر</t>
  </si>
  <si>
    <t>مسجدسلیمان — خوزستان</t>
  </si>
  <si>
    <t>مسجدسلیمان</t>
  </si>
  <si>
    <t>ملاثانی — خوزستان</t>
  </si>
  <si>
    <t>ملاثانی</t>
  </si>
  <si>
    <t>هفتگل — خوزستان</t>
  </si>
  <si>
    <t>هفتگل</t>
  </si>
  <si>
    <t>هندیجان — خوزستان</t>
  </si>
  <si>
    <t>هندیجان</t>
  </si>
  <si>
    <t>هویزه — خوزستان</t>
  </si>
  <si>
    <t>هویزه</t>
  </si>
  <si>
    <t>آب بر — زنجان</t>
  </si>
  <si>
    <t>آب بر</t>
  </si>
  <si>
    <t>ابهر — زنجان</t>
  </si>
  <si>
    <t>ابهر</t>
  </si>
  <si>
    <t>ص 4</t>
  </si>
  <si>
    <t>خرم دره — زنجان</t>
  </si>
  <si>
    <t>خرم دره</t>
  </si>
  <si>
    <t>زنجان — زنجان</t>
  </si>
  <si>
    <t>سلطان آباد — زنجان</t>
  </si>
  <si>
    <t>سلطان آباد</t>
  </si>
  <si>
    <t>سلطانیه — زنجان</t>
  </si>
  <si>
    <t>سلطانیه</t>
  </si>
  <si>
    <t>صائین — زنجان</t>
  </si>
  <si>
    <t>صائین</t>
  </si>
  <si>
    <t>قیدار — زنجان</t>
  </si>
  <si>
    <t>قیدار</t>
  </si>
  <si>
    <t>ماه نشان — زنجان</t>
  </si>
  <si>
    <t>ماه نشان</t>
  </si>
  <si>
    <t>گیلوان — زنجان</t>
  </si>
  <si>
    <t>گیلوان</t>
  </si>
  <si>
    <t>آستانه — سمنان</t>
  </si>
  <si>
    <t>آستانه</t>
  </si>
  <si>
    <t>امیرآباد — سمنان</t>
  </si>
  <si>
    <t>امیرآباد</t>
  </si>
  <si>
    <t>ایوانکی — سمنان</t>
  </si>
  <si>
    <t>ایوانکی</t>
  </si>
  <si>
    <t>بسطام — سمنان</t>
  </si>
  <si>
    <t>بسطام</t>
  </si>
  <si>
    <t>بیارجمند — سمنان</t>
  </si>
  <si>
    <t>بیارجمند</t>
  </si>
  <si>
    <t>ترود — سمنان</t>
  </si>
  <si>
    <t>ترود</t>
  </si>
  <si>
    <t>جام — سمنان</t>
  </si>
  <si>
    <t>جام</t>
  </si>
  <si>
    <t>دامغان — سمنان</t>
  </si>
  <si>
    <t>دامغان</t>
  </si>
  <si>
    <t>سرخه — سمنان</t>
  </si>
  <si>
    <t>سرخه</t>
  </si>
  <si>
    <t>سمنان — سمنان</t>
  </si>
  <si>
    <t>شاهرود — سمنان</t>
  </si>
  <si>
    <t>شاهرود</t>
  </si>
  <si>
    <t>شهمیرزاد — سمنان</t>
  </si>
  <si>
    <t>شهمیرزاد</t>
  </si>
  <si>
    <t>طرود — سمنان</t>
  </si>
  <si>
    <t>طرود</t>
  </si>
  <si>
    <t>طزره — سمنان</t>
  </si>
  <si>
    <t>طزره</t>
  </si>
  <si>
    <t>عباس آباد — سمنان</t>
  </si>
  <si>
    <t>عباس آباد</t>
  </si>
  <si>
    <t>فرومد — سمنان</t>
  </si>
  <si>
    <t>فرومد</t>
  </si>
  <si>
    <t>مجن — سمنان</t>
  </si>
  <si>
    <t>مجن</t>
  </si>
  <si>
    <t>معلمان — سمنان</t>
  </si>
  <si>
    <t>معلمان</t>
  </si>
  <si>
    <t>مهدی شهر — سمنان</t>
  </si>
  <si>
    <t>مهدی شهر</t>
  </si>
  <si>
    <t>میامی — سمنان</t>
  </si>
  <si>
    <t>میامی</t>
  </si>
  <si>
    <t>گرمسار — سمنان</t>
  </si>
  <si>
    <t>گرمسار</t>
  </si>
  <si>
    <t>ایرانشهر — سیستان و بلوچستان</t>
  </si>
  <si>
    <t>ایرانشهر</t>
  </si>
  <si>
    <t>بزمان — سیستان و بلوچستان</t>
  </si>
  <si>
    <t>بزمان</t>
  </si>
  <si>
    <t>بمپور — سیستان و بلوچستان</t>
  </si>
  <si>
    <t>بمپور</t>
  </si>
  <si>
    <t>جالق — سیستان و بلوچستان</t>
  </si>
  <si>
    <t>جالق</t>
  </si>
  <si>
    <t>خاش — سیستان و بلوچستان</t>
  </si>
  <si>
    <t>خاش</t>
  </si>
  <si>
    <t>دهک — سیستان و بلوچستان</t>
  </si>
  <si>
    <t>دهک</t>
  </si>
  <si>
    <t>زابل — سیستان و بلوچستان</t>
  </si>
  <si>
    <t>زابل</t>
  </si>
  <si>
    <t>زابلی — سیستان و بلوچستان</t>
  </si>
  <si>
    <t>زابلی</t>
  </si>
  <si>
    <t>زاهدان — سیستان و بلوچستان</t>
  </si>
  <si>
    <t>زاهدان</t>
  </si>
  <si>
    <t>زهک — سیستان و بلوچستان</t>
  </si>
  <si>
    <t>زهک</t>
  </si>
  <si>
    <t>سراوان — سیستان و بلوچستان</t>
  </si>
  <si>
    <t>سراوان</t>
  </si>
  <si>
    <t>سرباز — سیستان و بلوچستان</t>
  </si>
  <si>
    <t>سرباز</t>
  </si>
  <si>
    <t>سیب سوران — سیستان و بلوچستان</t>
  </si>
  <si>
    <t>سیب سوران</t>
  </si>
  <si>
    <t>فنوج — سیستان و بلوچستان</t>
  </si>
  <si>
    <t>فنوج</t>
  </si>
  <si>
    <t>قصر قند — سیستان و بلوچستان</t>
  </si>
  <si>
    <t>قصر قند</t>
  </si>
  <si>
    <t>میرجاوه — سیستان و بلوچستان</t>
  </si>
  <si>
    <t>میرجاوه</t>
  </si>
  <si>
    <t>نصرت آباد — سیستان و بلوچستان</t>
  </si>
  <si>
    <t>نصرت آباد</t>
  </si>
  <si>
    <t>نیک شهر — سیستان و بلوچستان</t>
  </si>
  <si>
    <t>نیک شهر</t>
  </si>
  <si>
    <t>چابهار — سیستان و بلوچستان</t>
  </si>
  <si>
    <t>چابهار</t>
  </si>
  <si>
    <t>کنارک — سیستان و بلوچستان</t>
  </si>
  <si>
    <t>کنارک</t>
  </si>
  <si>
    <t>کوهک — سیستان و بلوچستان</t>
  </si>
  <si>
    <t>کوهک</t>
  </si>
  <si>
    <t>گواتر — سیستان و بلوچستان</t>
  </si>
  <si>
    <t>گواتر</t>
  </si>
  <si>
    <t>آباده — فارس</t>
  </si>
  <si>
    <t>آباده</t>
  </si>
  <si>
    <t>ارسنجان — فارس</t>
  </si>
  <si>
    <t>ارسنجان</t>
  </si>
  <si>
    <t>استهبان — فارس</t>
  </si>
  <si>
    <t>استهبان</t>
  </si>
  <si>
    <t>اقلید — فارس</t>
  </si>
  <si>
    <t>اقلید</t>
  </si>
  <si>
    <t>بهرستان — فارس</t>
  </si>
  <si>
    <t>بهرستان</t>
  </si>
  <si>
    <t>جهرم — فارس</t>
  </si>
  <si>
    <t>جهرم</t>
  </si>
  <si>
    <t>خاوران — فارس</t>
  </si>
  <si>
    <t>خاوران</t>
  </si>
  <si>
    <t>خرامه — فارس</t>
  </si>
  <si>
    <t>خرامه</t>
  </si>
  <si>
    <t>خنج — فارس</t>
  </si>
  <si>
    <t>خنج</t>
  </si>
  <si>
    <t>داراب — فارس</t>
  </si>
  <si>
    <t>داراب</t>
  </si>
  <si>
    <t>ده بید — فارس</t>
  </si>
  <si>
    <t>ده بید</t>
  </si>
  <si>
    <t>زرقان — فارس</t>
  </si>
  <si>
    <t>زرقان</t>
  </si>
  <si>
    <t>سعادت شهر — فارس</t>
  </si>
  <si>
    <t>سعادت شهر</t>
  </si>
  <si>
    <t>سوریان — فارس</t>
  </si>
  <si>
    <t>سوریان</t>
  </si>
  <si>
    <t>سپیدان (اردکان) — فارس</t>
  </si>
  <si>
    <t>سپیدان (اردکان)</t>
  </si>
  <si>
    <t>شیراز — فارس</t>
  </si>
  <si>
    <t>شیراز</t>
  </si>
  <si>
    <t>فراشبند — فارس</t>
  </si>
  <si>
    <t>فراشبند</t>
  </si>
  <si>
    <t>فسا — فارس</t>
  </si>
  <si>
    <t>فسا</t>
  </si>
  <si>
    <t>فیروزآباد — فارس</t>
  </si>
  <si>
    <t>قادر آباد — فارس</t>
  </si>
  <si>
    <t>قادر آباد</t>
  </si>
  <si>
    <t>قیر — فارس</t>
  </si>
  <si>
    <t>قیر</t>
  </si>
  <si>
    <t>لار — فارس</t>
  </si>
  <si>
    <t>لار</t>
  </si>
  <si>
    <t>لامرد — فارس</t>
  </si>
  <si>
    <t>لامرد</t>
  </si>
  <si>
    <t>مرودشت — فارس</t>
  </si>
  <si>
    <t>مرودشت</t>
  </si>
  <si>
    <t>مهر — فارس</t>
  </si>
  <si>
    <t>مهر</t>
  </si>
  <si>
    <t>نورآباد (ممسنی) — فارس</t>
  </si>
  <si>
    <t>نورآباد (ممسنی)</t>
  </si>
  <si>
    <t>نیریز — فارس</t>
  </si>
  <si>
    <t>نیریز</t>
  </si>
  <si>
    <t>کازرون — فارس</t>
  </si>
  <si>
    <t>کازرون</t>
  </si>
  <si>
    <t>کوار — فارس</t>
  </si>
  <si>
    <t>کوار</t>
  </si>
  <si>
    <t>گراش — فارس</t>
  </si>
  <si>
    <t>گراش</t>
  </si>
  <si>
    <t>آب گرم (آوج) — قزوین</t>
  </si>
  <si>
    <t>آب گرم (آوج)</t>
  </si>
  <si>
    <t>آبیک — قزوین</t>
  </si>
  <si>
    <t>آبیک</t>
  </si>
  <si>
    <t>آوج — قزوین</t>
  </si>
  <si>
    <t>آوج</t>
  </si>
  <si>
    <t>بوئین زهرا — قزوین</t>
  </si>
  <si>
    <t>بوئین زهرا</t>
  </si>
  <si>
    <t>تاکستان — قزوین</t>
  </si>
  <si>
    <t>تاکستان</t>
  </si>
  <si>
    <t>قزوین — قزوین</t>
  </si>
  <si>
    <t>معلم کلایه — قزوین</t>
  </si>
  <si>
    <t>معلم کلایه</t>
  </si>
  <si>
    <t>سلفچگان — قم</t>
  </si>
  <si>
    <t>سلفچگان</t>
  </si>
  <si>
    <t>قم — قم</t>
  </si>
  <si>
    <t>کهک — قم</t>
  </si>
  <si>
    <t>کهک</t>
  </si>
  <si>
    <t>کوشک نصرت — قم</t>
  </si>
  <si>
    <t>کوشک نصرت</t>
  </si>
  <si>
    <t>گازران — قم</t>
  </si>
  <si>
    <t>گازران</t>
  </si>
  <si>
    <t>ازنا — لرستان</t>
  </si>
  <si>
    <t>ازنا</t>
  </si>
  <si>
    <t>الشتر — لرستان</t>
  </si>
  <si>
    <t>الشتر</t>
  </si>
  <si>
    <t>الیگودرز — لرستان</t>
  </si>
  <si>
    <t>الیگودرز</t>
  </si>
  <si>
    <t>بروجرد — لرستان</t>
  </si>
  <si>
    <t>بروجرد</t>
  </si>
  <si>
    <t>خرم آباد — لرستان</t>
  </si>
  <si>
    <t>خرم آباد</t>
  </si>
  <si>
    <t>درود — لرستان</t>
  </si>
  <si>
    <t>درود</t>
  </si>
  <si>
    <t>مامون — لرستان</t>
  </si>
  <si>
    <t>مامون</t>
  </si>
  <si>
    <t>پل دختر — لرستان</t>
  </si>
  <si>
    <t>پل دختر</t>
  </si>
  <si>
    <t>کوهدشت — لرستان</t>
  </si>
  <si>
    <t>کوهدشت</t>
  </si>
  <si>
    <t>آلاشت — مازندران</t>
  </si>
  <si>
    <t>آلاشت</t>
  </si>
  <si>
    <t>آمل — مازندران</t>
  </si>
  <si>
    <t>آمل</t>
  </si>
  <si>
    <t>بابل — مازندران</t>
  </si>
  <si>
    <t>بابل</t>
  </si>
  <si>
    <t>بابلسر — مازندران</t>
  </si>
  <si>
    <t>بابلسر</t>
  </si>
  <si>
    <t>بلده — مازندران</t>
  </si>
  <si>
    <t>بلده</t>
  </si>
  <si>
    <t>بهشهر — مازندران</t>
  </si>
  <si>
    <t>بهشهر</t>
  </si>
  <si>
    <t>تنکابن — مازندران</t>
  </si>
  <si>
    <t>تنکابن</t>
  </si>
  <si>
    <t>حسن کیف — مازندران</t>
  </si>
  <si>
    <t>حسن کیف</t>
  </si>
  <si>
    <t>رامسر — مازندران</t>
  </si>
  <si>
    <t>رامسر</t>
  </si>
  <si>
    <t>ساری — مازندران</t>
  </si>
  <si>
    <t>ساری</t>
  </si>
  <si>
    <t>علمده — مازندران</t>
  </si>
  <si>
    <t>علمده</t>
  </si>
  <si>
    <t>فریدون کنار — مازندران</t>
  </si>
  <si>
    <t>فریدون کنار</t>
  </si>
  <si>
    <t>قائم شهر — مازندران</t>
  </si>
  <si>
    <t>قائم شهر</t>
  </si>
  <si>
    <t>محمودآباد — مازندران</t>
  </si>
  <si>
    <t>محمودآباد</t>
  </si>
  <si>
    <t>مرزن آباد — مازندران</t>
  </si>
  <si>
    <t>مرزن آباد</t>
  </si>
  <si>
    <t>نور — مازندران</t>
  </si>
  <si>
    <t>نور</t>
  </si>
  <si>
    <t>نوشهر — مازندران</t>
  </si>
  <si>
    <t>نوشهر</t>
  </si>
  <si>
    <t>نکاء — مازندران</t>
  </si>
  <si>
    <t>نکاء</t>
  </si>
  <si>
    <t>پل سفید — مازندران</t>
  </si>
  <si>
    <t>پل سفید</t>
  </si>
  <si>
    <t>پلور — مازندران</t>
  </si>
  <si>
    <t>پلور</t>
  </si>
  <si>
    <t>چالوس — مازندران</t>
  </si>
  <si>
    <t>چالوس</t>
  </si>
  <si>
    <t>کیاسر — مازندران</t>
  </si>
  <si>
    <t>کیاسر</t>
  </si>
  <si>
    <t>آستانه — مرکزی</t>
  </si>
  <si>
    <t>آشتیان — مرکزی</t>
  </si>
  <si>
    <t>آشتیان</t>
  </si>
  <si>
    <t>اراک — مرکزی</t>
  </si>
  <si>
    <t>اراک</t>
  </si>
  <si>
    <t>تفرش — مرکزی</t>
  </si>
  <si>
    <t>تفرش</t>
  </si>
  <si>
    <t>خمین — مرکزی</t>
  </si>
  <si>
    <t>خمین</t>
  </si>
  <si>
    <t>خنداب — مرکزی</t>
  </si>
  <si>
    <t>خنداب</t>
  </si>
  <si>
    <t>دلیجان — مرکزی</t>
  </si>
  <si>
    <t>دلیجان</t>
  </si>
  <si>
    <t>ساوه — مرکزی</t>
  </si>
  <si>
    <t>ساوه</t>
  </si>
  <si>
    <t>شازند — مرکزی</t>
  </si>
  <si>
    <t>شازند</t>
  </si>
  <si>
    <t>فرمهین — مرکزی</t>
  </si>
  <si>
    <t>فرمهین</t>
  </si>
  <si>
    <t>محلات — مرکزی</t>
  </si>
  <si>
    <t>محلات</t>
  </si>
  <si>
    <t>نوبران — مرکزی</t>
  </si>
  <si>
    <t>نوبران</t>
  </si>
  <si>
    <t>کمیجان — مرکزی</t>
  </si>
  <si>
    <t>کمیجان</t>
  </si>
  <si>
    <t>بستک — هرمزگان</t>
  </si>
  <si>
    <t>بستک</t>
  </si>
  <si>
    <t>بندر خمیر — هرمزگان</t>
  </si>
  <si>
    <t>بندر خمیر</t>
  </si>
  <si>
    <t>بندر عباس — هرمزگان</t>
  </si>
  <si>
    <t>بندر عباس</t>
  </si>
  <si>
    <t>بندر لنگه — هرمزگان</t>
  </si>
  <si>
    <t>بندر لنگه</t>
  </si>
  <si>
    <t>جاسک — هرمزگان</t>
  </si>
  <si>
    <t>جاسک</t>
  </si>
  <si>
    <t>حاجی آباد — هرمزگان</t>
  </si>
  <si>
    <t>حاجی آباد</t>
  </si>
  <si>
    <t>رودان — هرمزگان</t>
  </si>
  <si>
    <t>رودان</t>
  </si>
  <si>
    <t>قشم — هرمزگان</t>
  </si>
  <si>
    <t>قشم</t>
  </si>
  <si>
    <t>لاوان — هرمزگان</t>
  </si>
  <si>
    <t>لاوان</t>
  </si>
  <si>
    <t>میناب — هرمزگان</t>
  </si>
  <si>
    <t>میناب</t>
  </si>
  <si>
    <t>چارک — هرمزگان</t>
  </si>
  <si>
    <t>چارک</t>
  </si>
  <si>
    <t>کیش — هرمزگان</t>
  </si>
  <si>
    <t>کیش</t>
  </si>
  <si>
    <t>گاو بندی — هرمزگان</t>
  </si>
  <si>
    <t>گاو بندی</t>
  </si>
  <si>
    <t>اسدآباد — همدان</t>
  </si>
  <si>
    <t>اسدآباد</t>
  </si>
  <si>
    <t>تویسرکان — همدان</t>
  </si>
  <si>
    <t>تویسرکان</t>
  </si>
  <si>
    <t>رزن — همدان</t>
  </si>
  <si>
    <t>رزن</t>
  </si>
  <si>
    <t>فامنین — همدان</t>
  </si>
  <si>
    <t>فامنین</t>
  </si>
  <si>
    <t>ملایر — همدان</t>
  </si>
  <si>
    <t>ملایر</t>
  </si>
  <si>
    <t>نهاوند — همدان</t>
  </si>
  <si>
    <t>نهاوند</t>
  </si>
  <si>
    <t>همدان — همدان</t>
  </si>
  <si>
    <t>کبوترآهنگ — همدان</t>
  </si>
  <si>
    <t>کبوترآهنگ</t>
  </si>
  <si>
    <t>کوهانی — همدان</t>
  </si>
  <si>
    <t>کوهانی</t>
  </si>
  <si>
    <t>اردل — چهارمحال و بختیاری</t>
  </si>
  <si>
    <t>اردل</t>
  </si>
  <si>
    <t>بروجن — چهارمحال و بختیاری</t>
  </si>
  <si>
    <t>بروجن</t>
  </si>
  <si>
    <t>بلداجی — چهارمحال و بختیاری</t>
  </si>
  <si>
    <t>بلداجی</t>
  </si>
  <si>
    <t>سامان — چهارمحال و بختیاری</t>
  </si>
  <si>
    <t>سامان</t>
  </si>
  <si>
    <t>سرخون — چهارمحال و بختیاری</t>
  </si>
  <si>
    <t>سرخون</t>
  </si>
  <si>
    <t>شلمزار — چهارمحال و بختیاری</t>
  </si>
  <si>
    <t>شلمزار</t>
  </si>
  <si>
    <t>شهرکرد — چهارمحال و بختیاری</t>
  </si>
  <si>
    <t>شهرکرد</t>
  </si>
  <si>
    <t>فارسان — چهارمحال و بختیاری</t>
  </si>
  <si>
    <t>فارسان</t>
  </si>
  <si>
    <t>لردگان — چهارمحال و بختیاری</t>
  </si>
  <si>
    <t>لردگان</t>
  </si>
  <si>
    <t>ناغان — چهارمحال و بختیاری</t>
  </si>
  <si>
    <t>ناغان</t>
  </si>
  <si>
    <t>کوهرنگ (چلگرد) — چهارمحال و بختیاری</t>
  </si>
  <si>
    <t>کوهرنگ (چلگرد)</t>
  </si>
  <si>
    <t>گندمان — چهارمحال و بختیاری</t>
  </si>
  <si>
    <t>گندمان</t>
  </si>
  <si>
    <t>بانه — کردستان</t>
  </si>
  <si>
    <t>بانه</t>
  </si>
  <si>
    <t>بیجار — کردستان</t>
  </si>
  <si>
    <t>بیجار</t>
  </si>
  <si>
    <t>دیواندره — کردستان</t>
  </si>
  <si>
    <t>دیواندره</t>
  </si>
  <si>
    <t>سقز — کردستان</t>
  </si>
  <si>
    <t>سقز</t>
  </si>
  <si>
    <t>سنندج — کردستان</t>
  </si>
  <si>
    <t>سنندج</t>
  </si>
  <si>
    <t>قروه — کردستان</t>
  </si>
  <si>
    <t>قروه</t>
  </si>
  <si>
    <t>مریوان — کردستان</t>
  </si>
  <si>
    <t>مریوان</t>
  </si>
  <si>
    <t>کامیاران — کردستان</t>
  </si>
  <si>
    <t>کامیاران</t>
  </si>
  <si>
    <t>انار — کرمان</t>
  </si>
  <si>
    <t>انار</t>
  </si>
  <si>
    <t>بافت — کرمان</t>
  </si>
  <si>
    <t>بافت</t>
  </si>
  <si>
    <t>بردسیر — کرمان</t>
  </si>
  <si>
    <t>بردسیر</t>
  </si>
  <si>
    <t>بم — کرمان</t>
  </si>
  <si>
    <t>بم</t>
  </si>
  <si>
    <t>جیرفت — کرمان</t>
  </si>
  <si>
    <t>جیرفت</t>
  </si>
  <si>
    <t>راور — کرمان</t>
  </si>
  <si>
    <t>راور</t>
  </si>
  <si>
    <t>راین — کرمان</t>
  </si>
  <si>
    <t>راین</t>
  </si>
  <si>
    <t>رفسنجان — کرمان</t>
  </si>
  <si>
    <t>رفسنجان</t>
  </si>
  <si>
    <t>زرند — کرمان</t>
  </si>
  <si>
    <t>زرند</t>
  </si>
  <si>
    <t>سبزآباد — کرمان</t>
  </si>
  <si>
    <t>سبزآباد</t>
  </si>
  <si>
    <t>سرچشمه — کرمان</t>
  </si>
  <si>
    <t>سرچشمه</t>
  </si>
  <si>
    <t>سیرجان — کرمان</t>
  </si>
  <si>
    <t>سیرجان</t>
  </si>
  <si>
    <t>سیرچ — کرمان</t>
  </si>
  <si>
    <t>سیرچ</t>
  </si>
  <si>
    <t>شهداد — کرمان</t>
  </si>
  <si>
    <t>شهداد</t>
  </si>
  <si>
    <t>شهربابک — کرمان</t>
  </si>
  <si>
    <t>شهربابک</t>
  </si>
  <si>
    <t>ماهان — کرمان</t>
  </si>
  <si>
    <t>ماهان</t>
  </si>
  <si>
    <t>کرمان — کرمان</t>
  </si>
  <si>
    <t>کهنوج — کرمان</t>
  </si>
  <si>
    <t>کهنوج</t>
  </si>
  <si>
    <t>کوهبنان — کرمان</t>
  </si>
  <si>
    <t>کوهبنان</t>
  </si>
  <si>
    <t>کیانشهر — کرمان</t>
  </si>
  <si>
    <t>کیانشهر</t>
  </si>
  <si>
    <t>گلباف — کرمان</t>
  </si>
  <si>
    <t>گلباف</t>
  </si>
  <si>
    <t>اسلام آباد غرب — کرمانشاه</t>
  </si>
  <si>
    <t>اسلام آباد غرب</t>
  </si>
  <si>
    <t>بیستون — کرمانشاه</t>
  </si>
  <si>
    <t>بیستون</t>
  </si>
  <si>
    <t>جوانرود — کرمانشاه</t>
  </si>
  <si>
    <t>جوانرود</t>
  </si>
  <si>
    <t>روانسر — کرمانشاه</t>
  </si>
  <si>
    <t>روانسر</t>
  </si>
  <si>
    <t>سراب نیلوفر — کرمانشاه</t>
  </si>
  <si>
    <t>سراب نیلوفر</t>
  </si>
  <si>
    <t>سرپل ذهاب — کرمانشاه</t>
  </si>
  <si>
    <t>سرپل ذهاب</t>
  </si>
  <si>
    <t>سنقر — کرمانشاه</t>
  </si>
  <si>
    <t>سنقر</t>
  </si>
  <si>
    <t>سومار — کرمانشاه</t>
  </si>
  <si>
    <t>سومار</t>
  </si>
  <si>
    <t>صحنه — کرمانشاه</t>
  </si>
  <si>
    <t>صحنه</t>
  </si>
  <si>
    <t>قصر شیرین — کرمانشاه</t>
  </si>
  <si>
    <t>قصر شیرین</t>
  </si>
  <si>
    <t>نوسود — کرمانشاه</t>
  </si>
  <si>
    <t>نوسود</t>
  </si>
  <si>
    <t>هرسین — کرمانشاه</t>
  </si>
  <si>
    <t>هرسین</t>
  </si>
  <si>
    <t>پاوه — کرمانشاه</t>
  </si>
  <si>
    <t>پاوه</t>
  </si>
  <si>
    <t>کرمانشاه — کرمانشاه</t>
  </si>
  <si>
    <t>کرند — کرمانشاه</t>
  </si>
  <si>
    <t>کرند</t>
  </si>
  <si>
    <t>کنگاور — کرمانشاه</t>
  </si>
  <si>
    <t>کنگاور</t>
  </si>
  <si>
    <t>گیلان غرب — کرمانشاه</t>
  </si>
  <si>
    <t>گیلان غرب</t>
  </si>
  <si>
    <t>دوگنبدان — کهگیلویه و بویراحمد</t>
  </si>
  <si>
    <t>دوگنبدان</t>
  </si>
  <si>
    <t>سی سخت — کهگیلویه و بویراحمد</t>
  </si>
  <si>
    <t>سی سخت</t>
  </si>
  <si>
    <t>گچساران — کهگیلویه و بویراحمد</t>
  </si>
  <si>
    <t>گچساران</t>
  </si>
  <si>
    <t>یاسوج — کهگیلویه و بویراحمد</t>
  </si>
  <si>
    <t>یاسوج</t>
  </si>
  <si>
    <t>آق قلعه — گلستان</t>
  </si>
  <si>
    <t>آق قلعه</t>
  </si>
  <si>
    <t>بندر ترکمن — گلستان</t>
  </si>
  <si>
    <t>بندر ترکمن</t>
  </si>
  <si>
    <t>بندر گز — گلستان</t>
  </si>
  <si>
    <t>بندر گز</t>
  </si>
  <si>
    <t>رامیان — گلستان</t>
  </si>
  <si>
    <t>رامیان</t>
  </si>
  <si>
    <t>علی آباد (گرگان) — گلستان</t>
  </si>
  <si>
    <t>علی آباد (گرگان)</t>
  </si>
  <si>
    <t>مراوه تپه — گلستان</t>
  </si>
  <si>
    <t>مراوه تپه</t>
  </si>
  <si>
    <t>مینودشت — گلستان</t>
  </si>
  <si>
    <t>مینودشت</t>
  </si>
  <si>
    <t>کلاله — گلستان</t>
  </si>
  <si>
    <t>کلاله</t>
  </si>
  <si>
    <t>گرگان — گلستان</t>
  </si>
  <si>
    <t>گرگان</t>
  </si>
  <si>
    <t>گنبدکاووس — گلستان</t>
  </si>
  <si>
    <t>گنبدکاووس</t>
  </si>
  <si>
    <t>آستارا — گیلان</t>
  </si>
  <si>
    <t>آستارا</t>
  </si>
  <si>
    <t>آستانه — گیلان</t>
  </si>
  <si>
    <t>بندر انزلی — گیلان</t>
  </si>
  <si>
    <t>بندر انزلی</t>
  </si>
  <si>
    <t>تالش — گیلان</t>
  </si>
  <si>
    <t>تالش</t>
  </si>
  <si>
    <t>جیرنده — گیلان</t>
  </si>
  <si>
    <t>جیرنده</t>
  </si>
  <si>
    <t>دیلمان — گیلان</t>
  </si>
  <si>
    <t>دیلمان</t>
  </si>
  <si>
    <t>رشت — گیلان</t>
  </si>
  <si>
    <t>رشت</t>
  </si>
  <si>
    <t>رضوانشهر — گیلان</t>
  </si>
  <si>
    <t>رضوانشهر</t>
  </si>
  <si>
    <t>رودبار — گیلان</t>
  </si>
  <si>
    <t>رودبار</t>
  </si>
  <si>
    <t>رودسر — گیلان</t>
  </si>
  <si>
    <t>رودسر</t>
  </si>
  <si>
    <t>سیاهکل — گیلان</t>
  </si>
  <si>
    <t>سیاهکل</t>
  </si>
  <si>
    <t>فومن — گیلان</t>
  </si>
  <si>
    <t>فومن</t>
  </si>
  <si>
    <t>لاهیجان — گیلان</t>
  </si>
  <si>
    <t>لاهیجان</t>
  </si>
  <si>
    <t>ماسوله — گیلان</t>
  </si>
  <si>
    <t>ماسوله</t>
  </si>
  <si>
    <t>منجیل — گیلان</t>
  </si>
  <si>
    <t>منجیل</t>
  </si>
  <si>
    <t>هشتپر — گیلان</t>
  </si>
  <si>
    <t>هشتپر</t>
  </si>
  <si>
    <t>چابکسر — گیلان</t>
  </si>
  <si>
    <t>چابکسر</t>
  </si>
  <si>
    <t>کلاچای — گیلان</t>
  </si>
  <si>
    <t>کلاچای</t>
  </si>
  <si>
    <t>ابرکوه — یزد</t>
  </si>
  <si>
    <t>ابرکوه</t>
  </si>
  <si>
    <t>اردکان — یزد</t>
  </si>
  <si>
    <t>اردکان</t>
  </si>
  <si>
    <t>بافق — یزد</t>
  </si>
  <si>
    <t>بافق</t>
  </si>
  <si>
    <t>بهاباد — یزد</t>
  </si>
  <si>
    <t>بهاباد</t>
  </si>
  <si>
    <t>تفت — یزد</t>
  </si>
  <si>
    <t>تفت</t>
  </si>
  <si>
    <t>خور — یزد</t>
  </si>
  <si>
    <t>دهشیر — یزد</t>
  </si>
  <si>
    <t>دهشیر</t>
  </si>
  <si>
    <t>دیهوک — یزد</t>
  </si>
  <si>
    <t>دیهوک</t>
  </si>
  <si>
    <t>رباط پشت بادام — یزد</t>
  </si>
  <si>
    <t>رباط پشت بادام</t>
  </si>
  <si>
    <t>ساغند — یزد</t>
  </si>
  <si>
    <t>ساغند</t>
  </si>
  <si>
    <t>طبس — یزد</t>
  </si>
  <si>
    <t>طبس</t>
  </si>
  <si>
    <t>عقداء — یزد</t>
  </si>
  <si>
    <t>عقداء</t>
  </si>
  <si>
    <t>مروست — یزد</t>
  </si>
  <si>
    <t>مروست</t>
  </si>
  <si>
    <t>مهریز — یزد</t>
  </si>
  <si>
    <t>مهریز</t>
  </si>
  <si>
    <t>میبد — یزد</t>
  </si>
  <si>
    <t>میبد</t>
  </si>
  <si>
    <t>نایین — یزد</t>
  </si>
  <si>
    <t>نایین</t>
  </si>
  <si>
    <t>هرات — یزد</t>
  </si>
  <si>
    <t>هرات</t>
  </si>
  <si>
    <t>یزد — یزد</t>
  </si>
  <si>
    <t>روش نرخ‌گذاری زلزلهٔ سوئیس‌ری (E = E1 × E2 × Zone) — بازسازی‌شده از متن اصلی EAR Rating Guide، بخش ۴.۳.۱ و بخش ۹</t>
  </si>
  <si>
    <t>جدول E1 — حساسیت ذاتی تجهیزات نسبت به زلزله (منبع: EAR Rating Guide, TABLE E1)</t>
  </si>
  <si>
    <t>کلاس (ورودی Data!C15)</t>
  </si>
  <si>
    <t>توصیف</t>
  </si>
  <si>
    <t>مثال تجهیزات</t>
  </si>
  <si>
    <t>ضریب E1</t>
  </si>
  <si>
    <t>اقلام غیرحساس</t>
  </si>
  <si>
    <t>توربین‌های هیدرولیکی، پرس‌های سنگین، کوره‌های آهنگری، خطوط لوله</t>
  </si>
  <si>
    <t>حساسیت کم تا متوسط</t>
  </si>
  <si>
    <t>موتورهای دیزل، کمپرسورهای پیستونی/سانتریفیوژ، توربوژنراتور بخار/گاز، ظروف تحت فشار</t>
  </si>
  <si>
    <t>حساس</t>
  </si>
  <si>
    <t>نوار نقاله، جرثقیل پلی، دیگ‌های بخار، کوره‌های سیمان، مخازن بزرگ سطح زمین</t>
  </si>
  <si>
    <t>بسیار حساس</t>
  </si>
  <si>
    <t>کامپیوتر، ترانسفورماتور، تجهیزات پست برق، تأسیسات دارویی، راکتورها</t>
  </si>
  <si>
    <t>جدول E2 — مقاومت سازهٔ ساختمان دربرگیرندهٔ تجهیزات (منبع: EAR Rating Guide, TABLE E2)</t>
  </si>
  <si>
    <t>کلاس (ورودی Data!C16)</t>
  </si>
  <si>
    <t>سازهٔ نگهدارنده</t>
  </si>
  <si>
    <t>دیوار/جداکننده</t>
  </si>
  <si>
    <t>ضریب E2</t>
  </si>
  <si>
    <t>اسکلت فولادی</t>
  </si>
  <si>
    <t>دیوار پوششی فلزی/پلاستیکی سبک یا فضای باز</t>
  </si>
  <si>
    <t>آزبست موج‌دار</t>
  </si>
  <si>
    <t>اسکلت بتن مسلح</t>
  </si>
  <si>
    <t>دیوار پوششی سبک، فلز/پلاستیک/شیشه</t>
  </si>
  <si>
    <t>فولاد یا بتن مسلح</t>
  </si>
  <si>
    <t>دیوار برشی داخلی سخت + پوشش سبک</t>
  </si>
  <si>
    <t>بتن مسلح</t>
  </si>
  <si>
    <t>فقط ستون‌ها سخت، بدون هستهٔ سخت؛ دیوار آجر/بلوک</t>
  </si>
  <si>
    <t>بنایی آجری</t>
  </si>
  <si>
    <t>ساختمان‌های آجری/پیش‌ساختهٔ معمولی</t>
  </si>
  <si>
    <t>نگاشت سطح خطر استاندارد ۲۸۰۰ به Zone سوئیس‌ری — مصوب کاربر در گفتگوی ممیزی (سطح اطمینان: متوسط؛ قابل بازنگری)</t>
  </si>
  <si>
    <t>سطح خطر ۲۸۰۰</t>
  </si>
  <si>
    <t>Zone سوئیس‌ری</t>
  </si>
  <si>
    <t>نسبت شتاب A متناظر (۲۸۰۰)</t>
  </si>
  <si>
    <t>معادل «خیلی‌سنگین». در متن رسمی استاندارد ۲۸۰۰ این رده «بسیار زیاد» نامیده می‌شود (مترادف با «خیلی زیاد» در سند اسکن‌شدهٔ منبع طبقه‌بندی شهرها). Zone A (فاجعه‌بار) عمداً برای هیچ نقطه‌ای در ایران استفاده نشد.</t>
  </si>
  <si>
    <t>معادل «سنگین»</t>
  </si>
  <si>
    <t>معادل «متوسط»</t>
  </si>
  <si>
    <t>معادل «کم» — طبق منبع اصلی، Zone E همواره بارگذاری صفر دارد</t>
  </si>
  <si>
    <t>Zone A (فاجعه‌بار) — رزرو، بدون تخصیص در ایران</t>
  </si>
  <si>
    <t>جدول E — نرخ ماهانهٔ زلزله (‰) بر حسب Zone و فاکتور ترکیبی E=E1×E2 (منبع: EAR Rating Guide, Section 9, TABLE E)</t>
  </si>
  <si>
    <t>فاکتور E</t>
  </si>
  <si>
    <t>Zone A (فاجعه‌بار)</t>
  </si>
  <si>
    <t>Zone B (خیلی‌سنگین)</t>
  </si>
  <si>
    <t>Zone C (سنگین)</t>
  </si>
  <si>
    <t>Zone D (متوسط)</t>
  </si>
  <si>
    <t>Zone E (کم)</t>
  </si>
  <si>
    <t>یادداشت‌های روش‌شناختی:
۱) نرخ‌های این جدول به هزار (‰) در ماه هستند. حق‌بیمهٔ زلزله = نرخ ماهانه × مدت پروژه (ماه) — نه یک ضریب یک‌بارمصرف.
۲) اگر E محاسبه‌شده بین دو مقدار جدول باشد، به‌صورت محافظه‌کارانه به بالاترین مقدار جدول گرد می‌شود (فرض مهندسی، تأیید نشده از متن مبدأ — قابل تغییر به میان‌یابی خطی در صورت درخواست).
۳) Zone A هرگز در ایران انتخاب نمی‌شود چون بالاترین ردهٔ استاندارد ۲۸۰۰ (بسیار زیاد، A=۰.۳۵) به Zone B نگاشت شده — تصمیم کاربر، سطح اطمینان متوسط.
۴) صحت پیشروی عددی جدول E با یادداشت‌های داخلی نسخهٔ قبلی Rate-Region (آستانه‌های E≥۶ برای C، E≥۱۲.۵ برای D) مطابقت کامل دارد.
۵) OCR متن مبدأ در برخی نویسه‌ها مخدوش بود؛ ارقام جدول با الگوی پیوستهٔ ستون‌ها بازسازی شدند، نه با حدس — پیش از استناد رسمی با نسخهٔ چاپی مقابله شود.</t>
  </si>
  <si>
    <t>کد ایمن (Defined Name)</t>
  </si>
  <si>
    <t>ردیف شروع</t>
  </si>
  <si>
    <t>ردیف پایان</t>
  </si>
  <si>
    <t>تعداد شهر</t>
  </si>
  <si>
    <t>HZP_01</t>
  </si>
  <si>
    <t>HZP_02</t>
  </si>
  <si>
    <t>HZP_03</t>
  </si>
  <si>
    <t>HZP_04</t>
  </si>
  <si>
    <t>HZP_05</t>
  </si>
  <si>
    <t>HZP_06</t>
  </si>
  <si>
    <t>HZP_07</t>
  </si>
  <si>
    <t>HZP_08</t>
  </si>
  <si>
    <t>HZP_09</t>
  </si>
  <si>
    <t>HZP_10</t>
  </si>
  <si>
    <t>HZP_11</t>
  </si>
  <si>
    <t>HZP_12</t>
  </si>
  <si>
    <t>HZP_13</t>
  </si>
  <si>
    <t>HZP_14</t>
  </si>
  <si>
    <t>HZP_15</t>
  </si>
  <si>
    <t>HZP_16</t>
  </si>
  <si>
    <t>HZP_17</t>
  </si>
  <si>
    <t>HZP_18</t>
  </si>
  <si>
    <t>HZP_19</t>
  </si>
  <si>
    <t>HZP_20</t>
  </si>
  <si>
    <t>HZP_21</t>
  </si>
  <si>
    <t>HZP_22</t>
  </si>
  <si>
    <t>HZP_23</t>
  </si>
  <si>
    <t>HZP_24</t>
  </si>
  <si>
    <t>HZP_25</t>
  </si>
  <si>
    <t>HZP_26</t>
  </si>
  <si>
    <t>HZP_27</t>
  </si>
  <si>
    <t>HZP_28</t>
  </si>
  <si>
    <t>HZP_29</t>
  </si>
  <si>
    <t>HZP_30</t>
  </si>
  <si>
    <t>این شیت زیرساخت دراپ‌داون آبشاری «استان → شهرستان» در Data!C7/H7 است. هر ردیف یک Defined Name (کد ایمن HZP_xx) دارد که به بازهٔ ردیف‌های همان استان در ستون C شیت 'Hazard-Cities-2800' اشاره می‌کند. Data!I7 نام استان انتخابی را به کد ایمن ترجمه می‌کند و Data!H7 (دراپ‌داون شهرستان) با INDIRECT(کد ایمن) فقط شهرهای همان استان را نشان می‌دهد — دقیقاً همان الگوی 'گروه صنعتی → زیرگروه' که در C4/C5 همین شیت از قبل وجود دارد.</t>
  </si>
  <si>
    <t>Maps the city's Standard 2800 hazard level (E7) to a Swiss Re zone per the user-approved table in 'Rate-EQ-SwissRe' (خیلی‌زیاد→B, زیاد→C, متوسط→D, کم→E). Replaces the old 1.00/1.15 provincial multiplier entirely.</t>
  </si>
  <si>
    <t>Rate ‰ per event (Rate-Asset, ﷼ column). Premium applies to the limit, not the SI.</t>
  </si>
  <si>
    <t>Existing Property — Limit per event (﷼) → Premium</t>
  </si>
  <si>
    <t>These apply to a separate limit/value, NOT the SI, so they are priced as premiums (﷼), not ‰.</t>
  </si>
  <si>
    <t>Air Freight (5.4): aggregate limit (C, ﷼) · rate ‰ (D)</t>
  </si>
  <si>
    <t>Storage Pre-Erection (5.5): value stored (C, ﷼) · months (D)</t>
  </si>
  <si>
    <t>Inland Transit (6.5): value transported (C, ﷼)</t>
  </si>
  <si>
    <t>Clearance of Debris &gt;threshold (5.2): limit per event (﷼)</t>
  </si>
  <si>
    <t>Threshold and rate both in ﷼ now — see 'Currency-Conversion' sheet row 14 for the converted threshold (was 100,000 c-units).</t>
  </si>
  <si>
    <t>Premium add-ons sub-total (﷼)</t>
  </si>
  <si>
    <t>TPL — Total Limit (﷼)</t>
  </si>
  <si>
    <t>Limit of indemnity in ﷼; sets the adaptation factor via 'Currency-Conversion' sheet rows 18-24 (Rial-equivalent of the original 0.5-10 million c-unit bands).</t>
  </si>
  <si>
    <t>TPL Premium (﷼)</t>
  </si>
  <si>
    <t>Cross Liability surcharge (﷼)</t>
  </si>
  <si>
    <t>TPL Total (﷼)</t>
  </si>
  <si>
    <t>Sum Insured — Material Damage (﷼)</t>
  </si>
  <si>
    <t>Indicative Minimum Premium (﷼)</t>
  </si>
  <si>
    <t>Gross MD Premium (﷼)</t>
  </si>
  <si>
    <t>Premium Add-ons (﷼)</t>
  </si>
  <si>
    <t>GROSS PREMIUM (﷼)</t>
  </si>
  <si>
    <t>Net Premium to Insurer (﷼)</t>
  </si>
  <si>
    <t>TOTAL PREMIUM PAYABLE BY INSURED (﷼)</t>
  </si>
  <si>
    <t>نگهداری ساده — مدت (ماه)</t>
  </si>
  <si>
    <t>نگهداری گسترده — مدت (ماه)</t>
  </si>
  <si>
    <t>سایت ایزوله / حومه / مرکز شهر</t>
  </si>
  <si>
    <t xml:space="preserve">پوشش مسئولیت شخص ثالث (TPL) اصلاً وجود دارد؟</t>
  </si>
  <si>
    <t xml:space="preserve">اگر No باشد، کل حق‌بیمهٔ TPL (پایه + مسئولیت متقابل) صفر می‌شود و ردیف‌های ۲۶ تا ۲۸ نادیده گرفته می‌شوند</t>
  </si>
  <si>
    <t xml:space="preserve">TPL Included?</t>
  </si>
  <si>
    <t xml:space="preserve">TPL rate × contract value (SI). Minimum-premium floor (Rate-TPL F:K) removed per user instruction — see Changelog v14–v15. Base TPL rate table itself is unchanged. Zeroed entirely if TPL Included (کش‌ساده!C18) = No.</t>
  </si>
  <si>
    <t xml:space="preserve">INFORMATIONAL ONLY — no longer applied to the premium calc (was General Excess mis-mapped as a minimum premium; removed in v15). Kept here for audit-trail visibility only.</t>
  </si>
  <si>
    <t xml:space="preserve">SI × office rate / 1000. Minimum-premium floor removed per user instruction — see Changelog v14–v15. (Rate floor E11/E13 unaffected.)</t>
  </si>
  <si>
    <t xml:space="preserve">v14–15 — (1) Added TPL master include/exclude toggle: محاسبه-ساده!C18 (پوشش مسئولیت شخص ثالث TPL اصلاً وجود دارد؟, Yes/No, default Yes). Data!I44 links to it; Data!E51 (TPL Premium) returns 0 outright when the toggle = No; Data!E79 (V5) reports "OK (TPL excluded)" instead of flagging category/surroundings. Cross-liability (E52) auto-zeroes since it is 35% of E51. (2) Removed ALL minimum-PREMIUM floors, per explicit user instruction — minimum-RATE floors (E11/E13, and the Rate-TPL ‰ table itself) were NOT touched. BEFORE: Data!E66 = MAX(ROUND(C62*E64/1000,0), E65) — E65 ("Indicative Minimum Premium") was traced to Rate-SubGroup column K, which is actually General Excess (a deductible) converted to Rial, not a real minimum premium — mislabeled floor. AFTER: Data!E66 = ROUND(C62*E64/1000,0), pure SI × office-rate. E65 kept on the sheet as an informational/audit-trail value only — no longer feeds any live calculation. BEFORE: Data!E51 = MAX(ROUND($C$62*E49/1000,0), TPL minimum-premium grid Rate-TPL!I4:K6) — this grid IS an authoritative Swiss Re per-category/surroundings minimum premium (500–4000 c-units, verified against the source PDF B.1 rating table), removed only from the live formula per user instruction; the figures themselves are unchanged on Rate-TPL. AFTER: Data!E51 = ROUND($C$62*E49/1000,0), pure SI × TPL-rate. VERIFIED (LibreOffice recalc, reference scenario: Metal/Paint-factories, 15 months, Qom, SI 20,000,000,000 ﷼, TPL Cat I-a isolated site, no cross-liability, TPL Included=Yes): E66 3,063,879,450 → 82,000,000 ﷼; E51/E53 1,531,939,725 → 4,000,000 ﷼; E73 (Total Payable) 5,055,401,092 → 94,600,000 ﷼. Rate floor E13 confirmed still active at 3.65‰ (unchanged), proving rate-floor logic was not disturbed. IMPORTANT PROCESS NOTE: this revision was rebuilt directly from raw OOXML (not via openpyxl round-trip) because the prior two saves (v14, v15 originally) had silently dropped the three x14-extension list dropdowns on محاسبه-ساده (C10 Project Sub-Group, C12 Province, C13 City/Town) — openpyxl does not round-trip the x14:dataValidations extLst block. All three dropdowns are restored and verified intact in this file.</t>
  </si>
  <si>
    <t xml:space="preserve">2026-07-21</t>
  </si>
  <si>
    <t xml:space="preserve">Claude (Anthropic) - TPL exclusion toggle + minimum-premium floor removal (rebuilt via raw XML to preserve dropdowns), v14–v15</t>
  </si>
  <si>
    <t xml:space="preserve">02.0.1 — Boiler feed pumps, incl. drive — turbine driven</t>
  </si>
  <si>
    <t xml:space="preserve">02.0.1 — Boiler feed pumps, incl. drive — motor driven</t>
  </si>
  <si>
    <t xml:space="preserve">02.0.2 — Heat exchangers, condensers</t>
  </si>
  <si>
    <t xml:space="preserve">02.0.3 — Electrical motors — asynchronous squirrel cage, up to 1 MW</t>
  </si>
  <si>
    <t xml:space="preserve">02.0.3 — Electrical motors — asynchronous slip ring, up to 25 MW</t>
  </si>
  <si>
    <t xml:space="preserve">02.0.3 — Electrical motors — synchronous, up to 25 MW</t>
  </si>
  <si>
    <t xml:space="preserve">02.0.3 — Electrical motors — direct current, up to 10 MW</t>
  </si>
  <si>
    <t xml:space="preserve">02.0.3 — Electrical motors — special design (e.g. ring motor), up to 25 MW</t>
  </si>
  <si>
    <t xml:space="preserve">02.0.4 — Transformers — single/three phase, up to 100 MW; 30 kV</t>
  </si>
  <si>
    <t xml:space="preserve">02.0.4 — Transformers — special design (rectifier/furnace transformers), up to 50 MW</t>
  </si>
  <si>
    <t xml:space="preserve">02.0.5 — Pumps incl. motor drive — reciprocating type, up to 5 MW; 50 bar</t>
  </si>
  <si>
    <t xml:space="preserve">02.0.5 — Pumps incl. motor drive — centrifugal type, up to 5 MW; 50 bar</t>
  </si>
  <si>
    <t xml:space="preserve">02.0.5 — Pumps incl. motor drive — special design (submerged, deepwell)</t>
  </si>
  <si>
    <t xml:space="preserve">02.0.6 — Compressors incl. drive — reciprocating, up to 10 MW; 100 bar</t>
  </si>
  <si>
    <t xml:space="preserve">02.0.6 — Compressors — turbo (axial/radial), turbine driven, up to 10 MW; 50 bar</t>
  </si>
  <si>
    <t xml:space="preserve">02.0.6 — Compressors — turbo (axial/radial), motor driven, up to 10 MW; 50 bar</t>
  </si>
  <si>
    <t xml:space="preserve">02.0.7 — Fans, ventilators, up to 5 MW</t>
  </si>
  <si>
    <t xml:space="preserve">02.0.8 — Other individual machines, not specified elsewhere</t>
  </si>
  <si>
    <t xml:space="preserve">03.0.1 — Dredgers, excavators, draglines and other exploitation machines</t>
  </si>
  <si>
    <t xml:space="preserve">03.0.2 — Breakers, crushers</t>
  </si>
  <si>
    <t xml:space="preserve">03.0.3 — Hoists, shaft lifts</t>
  </si>
  <si>
    <t xml:space="preserve">03.0.4 — Compressors/ventilators incl. drive — turbine driven, up to 10 000 kW; 50 bar</t>
  </si>
  <si>
    <t xml:space="preserve">03.0.4 — Compressors/ventilators incl. drive — motor driven, up to 10 000 kW; 50 bar</t>
  </si>
  <si>
    <t xml:space="preserve">03.0.5 — Kilns, reverberatory furnaces, pelletizers</t>
  </si>
  <si>
    <t xml:space="preserve">03.0.6 — Other individual machines, not specified elsewhere</t>
  </si>
  <si>
    <t xml:space="preserve">04.0.1 — Vessels, pressure vessels, distallation columns, crackers, reactors, furnaces</t>
  </si>
  <si>
    <t xml:space="preserve">04.0.2 — Turbo-compressors/pumps — turbine driven, ≤100 MW; ≤100 bar</t>
  </si>
  <si>
    <t xml:space="preserve">04.0.2 — Turbo-compressors/pumps — motor driven, ≤100 MW; ≤100 bar</t>
  </si>
  <si>
    <t xml:space="preserve">04.0.3 — Reciprocating type compressors and pumps — motor driven, ≤20 MW; ≤250 bar</t>
  </si>
  <si>
    <t xml:space="preserve">04.0.4 — Centrifuges</t>
  </si>
  <si>
    <t xml:space="preserve">04.0.5 — Filters, cyclones, electrostatic precipitators</t>
  </si>
  <si>
    <t xml:space="preserve">04.0.6 — Other individual machines, not specified elsewhere</t>
  </si>
  <si>
    <t xml:space="preserve">05.0.1 — Steel furnaces (Bessemer and Thomas converters, Siemens Martin furnaces)</t>
  </si>
  <si>
    <t xml:space="preserve">05.0.2 — Electrical arc furnaces</t>
  </si>
  <si>
    <t xml:space="preserve">05.0.3 — Other furnaces</t>
  </si>
  <si>
    <t xml:space="preserve">05.0.4 — Hot rolling mills, continuous casting machines</t>
  </si>
  <si>
    <t xml:space="preserve">05.0.5 — Extrusion presses, forging hammers, forging presses, shears and punching machines, presses, cutters</t>
  </si>
  <si>
    <t xml:space="preserve">05.0.6 — Cold rolling mills</t>
  </si>
  <si>
    <t xml:space="preserve">05.0.7 — Machine tools, incl. NC equipment, lathes, planing etc.</t>
  </si>
  <si>
    <t xml:space="preserve">05.0.8 — Scrap shearing machines, shredders</t>
  </si>
  <si>
    <t xml:space="preserve">05.0.9 — Other individual machines, not specified elsewhere</t>
  </si>
  <si>
    <t xml:space="preserve">06.0.1 — Crushers (hammer, jaw)</t>
  </si>
  <si>
    <t xml:space="preserve">06.0.2 — Transport systems: conveyor belts, bucket elevators, air slides, air lifts</t>
  </si>
  <si>
    <t xml:space="preserve">06.0.3 — Mills: raw material grinding, clinker grinding, coal grinding, mixers</t>
  </si>
  <si>
    <t xml:space="preserve">06.0.4 — Filters: cyclones, separators, bag filters, electrostatic precipitators (mills, coolers)</t>
  </si>
  <si>
    <t xml:space="preserve">06.0.5 — Kilns, precalcining and drying furnaces, reheating and melting furnaces</t>
  </si>
  <si>
    <t xml:space="preserve">06.0.6 — Coolers: rotary, planetary, grate type</t>
  </si>
  <si>
    <t xml:space="preserve">06.0.7 — Material storage: stackers and reclaimers, weighing devices</t>
  </si>
  <si>
    <t xml:space="preserve">06.0.8 — Bagging machines, bulk loading</t>
  </si>
  <si>
    <t xml:space="preserve">06.0.9 — Glass manufacturing lines</t>
  </si>
  <si>
    <t xml:space="preserve">06.0.10 — Other individual machines, not specified elsewhere</t>
  </si>
  <si>
    <t xml:space="preserve">07.0.1 — Frame saws</t>
  </si>
  <si>
    <t xml:space="preserve">07.0.2 — Wood chippers, veneering machines, peelers, chippers etc.</t>
  </si>
  <si>
    <t xml:space="preserve">07.0.3 — Single and multi-stage presses</t>
  </si>
  <si>
    <t xml:space="preserve">07.0.4 — Other individual machines, not specified elsewhere</t>
  </si>
  <si>
    <t xml:space="preserve">08.0.1 — Bark removing (decorticating) machines, wood chippers, wood grinders</t>
  </si>
  <si>
    <t xml:space="preserve">08.0.2 — Beating mills, finishers, Jordan mills, Dolly tubs</t>
  </si>
  <si>
    <t xml:space="preserve">08.0.3 — Pulp sheet or paper making machines</t>
  </si>
  <si>
    <t xml:space="preserve">08.0.4 — Black liquor boilers</t>
  </si>
  <si>
    <t xml:space="preserve">08.0.5 — Other individual machines, not specified elsewhere</t>
  </si>
  <si>
    <t xml:space="preserve">09.0.1 — Rotary printing machines</t>
  </si>
  <si>
    <t xml:space="preserve">09.0.2 — Other printing machines</t>
  </si>
  <si>
    <t xml:space="preserve">09.0.3 — Type setting machines</t>
  </si>
  <si>
    <t xml:space="preserve">09.0.4 — Electronic scanning machines</t>
  </si>
  <si>
    <t xml:space="preserve">09.0.5 — Presses, cutters, punchers</t>
  </si>
  <si>
    <t xml:space="preserve">09.0.6 — Other individual machines, not specified elsewhere</t>
  </si>
  <si>
    <t xml:space="preserve">10.0.1 — All individual machines, not specified elsewhere</t>
  </si>
  <si>
    <t xml:space="preserve">11.0.1 — Bale breakers, openers, carding machines</t>
  </si>
  <si>
    <t xml:space="preserve">11.0.2 — Spinning, roving, twisting machines</t>
  </si>
  <si>
    <t xml:space="preserve">11.0.3 — Weaving machines, knitting machines</t>
  </si>
  <si>
    <t xml:space="preserve">11.0.4 — Printing machines</t>
  </si>
  <si>
    <t xml:space="preserve">11.0.5 — Washing machines (dry cleaners)</t>
  </si>
  <si>
    <t xml:space="preserve">11.0.6 — Other individual machines, not specified elsewhere</t>
  </si>
  <si>
    <t xml:space="preserve">12.0.1 — Extruders, injection moulding machines, plastic-blowing machines, vulcanizing presses</t>
  </si>
  <si>
    <t xml:space="preserve">12.0.2 — Cutters, mills, mixers, calanders</t>
  </si>
  <si>
    <t xml:space="preserve">12.0.3 — Strand-bead forming machines</t>
  </si>
  <si>
    <t xml:space="preserve">12.0.4 — Vacuum impregnation machines</t>
  </si>
  <si>
    <t xml:space="preserve">12.0.5 — Other individual machines, not specified elsewhere</t>
  </si>
  <si>
    <t xml:space="preserve">13.0.1 — Aspirators, cleaning, screening, brushing, shelling, winnowing machines</t>
  </si>
  <si>
    <t xml:space="preserve">13.0.2 — Cyclones, filters, dust collectors, bag filters etc.</t>
  </si>
  <si>
    <t xml:space="preserve">13.0.3 — Ball mills, grinders, crushing mills</t>
  </si>
  <si>
    <t xml:space="preserve">13.0.4 — Oil presses, cocoa butter presses, other presses, beet slicers, cutters, extractors, pelletizers</t>
  </si>
  <si>
    <t xml:space="preserve">13.0.5 — Sugar cane crusher mills (roller mills) incl. drive — turbine driven, up to 5 MW</t>
  </si>
  <si>
    <t xml:space="preserve">13.0.5 — Sugar cane crusher mills (roller mills) incl. drive — motor driven, up to 5 MW</t>
  </si>
  <si>
    <t xml:space="preserve">13.0.6 — Ovens, roasting plants, dryers</t>
  </si>
  <si>
    <t xml:space="preserve">13.0.7 — Bottle cleaning and filling machines, packing machines</t>
  </si>
  <si>
    <t xml:space="preserve">13.0.8 — Centrifuges, separators</t>
  </si>
  <si>
    <t xml:space="preserve">13.0.9 — Automatic cigar and cigarette production machines</t>
  </si>
  <si>
    <t xml:space="preserve">13.0.10 — Vacuum dryers, pulverizer installations for instant pulverized food production</t>
  </si>
  <si>
    <t xml:space="preserve">13.0.11 — Other individual machines, not specified elsewhere</t>
  </si>
  <si>
    <t xml:space="preserve">14.0.1 — Heaters, pasteurizers, homogenizers, coolers</t>
  </si>
  <si>
    <t xml:space="preserve">14.0.2 — Cooling compressors incl. motor drive</t>
  </si>
  <si>
    <t xml:space="preserve">14.0.3 — Centrifuges, separators</t>
  </si>
  <si>
    <t xml:space="preserve">14.0.4 — Meat saws, cutters, choppers, mincing machines, mixers</t>
  </si>
  <si>
    <t xml:space="preserve">14.0.5 — Vacuum dryers, pulverizers</t>
  </si>
  <si>
    <t xml:space="preserve">14.0.6 — Bottle cleaning and filling machines, packing machines</t>
  </si>
  <si>
    <t xml:space="preserve">14.0.7 — Other individual machines, not specified elsewhere</t>
  </si>
  <si>
    <t xml:space="preserve">15.0.1 — Cooling compressors incl. motor drive</t>
  </si>
  <si>
    <t xml:space="preserve">15.0.2 — Fans, blowers</t>
  </si>
  <si>
    <t xml:space="preserve">15.0.3 — Evaporators, coolers, heat exchangers</t>
  </si>
  <si>
    <t xml:space="preserve">15.0.4 — Autoclaves, sterilizers</t>
  </si>
  <si>
    <t xml:space="preserve">15.0.5 — Can manufacturing machines, filling, sealing, labelling machines</t>
  </si>
  <si>
    <t xml:space="preserve">15.0.6 — Other individual machines, not specified elsewhere</t>
  </si>
  <si>
    <t xml:space="preserve">18.0.1 — Air conditioning devices — window units</t>
  </si>
  <si>
    <t xml:space="preserve">18.0.1 — Air conditioning devices — compressors, pumps, vaporizers, ozonizers</t>
  </si>
  <si>
    <t xml:space="preserve">18.0.2 — Boilers for warm water and heating</t>
  </si>
  <si>
    <t xml:space="preserve">18.0.3 — Lifts, escalators</t>
  </si>
  <si>
    <t xml:space="preserve">18.0.4 — Other individual machines, not specified elsewhere</t>
  </si>
  <si>
    <t xml:space="preserve">Machine (picker label)</t>
  </si>
  <si>
    <t xml:space="preserve">Basic Rate ‰</t>
  </si>
  <si>
    <t xml:space="preserve">Add. Erect ‰/mo</t>
  </si>
  <si>
    <t xml:space="preserve">Add. Test ‰/mo</t>
  </si>
  <si>
    <t xml:space="preserve">Ref. Rate ‰</t>
  </si>
  <si>
    <t xml:space="preserve">۶) مبنای نرخ‌گذاری — کل پروژه یا ماشین‌آلات منفرد (جداول آبی سوییس‌ری، بند ۲.۵)</t>
  </si>
  <si>
    <t xml:space="preserve">مبنای نرخ‌گذاری</t>
  </si>
  <si>
    <t xml:space="preserve">کل پروژه (Entire Project)</t>
  </si>
  <si>
    <t xml:space="preserve">جداول سفید = کل کارخانه/پروژه  ·  جداول آبی = نصب یک ماشین منفرد در واحد موجود</t>
  </si>
  <si>
    <t xml:space="preserve">ماشین (فقط اگر «ماشین‌آلات منفرد» انتخاب شده باشد)</t>
  </si>
  <si>
    <t xml:space="preserve">از فهرست ۱۰۸ ردیفی جداول آبی انتخاب کنید</t>
  </si>
  <si>
    <t xml:space="preserve">مدت نصب ماشین (ماه)</t>
  </si>
  <si>
    <t xml:space="preserve">نرخ پایه شامل ۳ ماه نصب است · حداکثر مجاز ۹ ماه</t>
  </si>
  <si>
    <t xml:space="preserve">مدت آزمایش/راه‌اندازی ماشین (ماه)</t>
  </si>
  <si>
    <t xml:space="preserve">نرخ پایه شامل ۱ ماه آزمایش است · حداکثر مجاز ۳ ماه</t>
  </si>
  <si>
    <t xml:space="preserve">بارگذاری بلایای طبیعی برای ماشین منفرد؟</t>
  </si>
  <si>
    <t xml:space="preserve">طبق بند ۲.۵ پیش‌فرض No · فقط اگر دورهٔ بازگشت رویداد فاجعه‌بار کمتر از ۱۰ سال باشد Yes کنید</t>
  </si>
  <si>
    <t xml:space="preserve">No</t>
  </si>
  <si>
    <t xml:space="preserve">L   INDIVIDUAL MACHINES  (Blue Tables — Swiss Re Rating Guide 2.5)</t>
  </si>
  <si>
    <t xml:space="preserve">M1</t>
  </si>
  <si>
    <t xml:space="preserve">M2</t>
  </si>
  <si>
    <t xml:space="preserve">M3</t>
  </si>
  <si>
    <t xml:space="preserve">M4</t>
  </si>
  <si>
    <t xml:space="preserve">M5</t>
  </si>
  <si>
    <t xml:space="preserve">M6</t>
  </si>
  <si>
    <t xml:space="preserve">M7</t>
  </si>
  <si>
    <t xml:space="preserve">Rating Basis (Entire Project / Individual Machines)</t>
  </si>
  <si>
    <t xml:space="preserve">Machine (blue table)</t>
  </si>
  <si>
    <t xml:space="preserve">Erection months (machine)</t>
  </si>
  <si>
    <t xml:space="preserve">Testing months (machine)</t>
  </si>
  <si>
    <t xml:space="preserve">Nature-perils loading for individual machine?</t>
  </si>
  <si>
    <t xml:space="preserve">Blue-table Erection Rate (‰)</t>
  </si>
  <si>
    <t xml:space="preserve">Blue-table Reference Rate (‰)</t>
  </si>
  <si>
    <t xml:space="preserve">Mode flag: M = individual machine (blue), P = entire project (white). Drives the switch in E12/E13/E14/D58.</t>
  </si>
  <si>
    <t xml:space="preserve">Basic Rate + MAX(0,MIN(erect,9)-3)×Add.Erect + MAX(0,MIN(test,3)-1)×Add.Test. Source: Swiss Re 2.5 / 10.1 — basic rate covers 3 months erection + 1 month testing; erection extendable to 9, testing to 3.</t>
  </si>
  <si>
    <t xml:space="preserve">Reference Rate from the blue table (col F), used by the Manufacturer-Risk / maintenance loadings when in machine mode.</t>
  </si>
  <si>
    <t xml:space="preserve">Set on محاسبه-ساده!C52. Default = Entire Project, which leaves every downstream formula behaving exactly as before.</t>
  </si>
  <si>
    <t xml:space="preserve">V7</t>
  </si>
  <si>
    <t xml:space="preserve">Individual-machine periods within Swiss Re caps</t>
  </si>
  <si>
    <t xml:space="preserve">v17 — Added the Entire Project / Individual Machines rating-basis switch (Swiss Re Rating Guide 2.5 + 10.1, blue tables). FINDING THAT PROMPTED THIS: the 'Rate-IndividualMachines' sheet held 108 complete blue-table rate rows but NO formula anywhere in the workbook referenced it — an orphaned sheet, never wired in. Verified by full-text search of every formula in both EAR_Rating.xlsx and EAR_Rating_v13_Simple.xlsx; neither ever contained a rating-basis input. Severity Major, category D (present but never implemented). NEW INPUTS (محاسبه-ساده, new section 6, rows 51-56 — appended after row 49 so NO existing row number shifts): C52 rating basis (Entire Project / Individual Machines, default Entire Project); C53 machine picker (dropdown over the new EAR_Machines defined name, 108 entries); C54 erection months (default 3); C55 testing months (default 1); C56 nature-perils loading for the machine (default No). NEW HELPER DATA: Rate-IndividualMachines columns K:O rows 2-109 hold a contiguous, de-duplicated picker list (label, basic rate, add. erection, add. testing, ref. rate) compacted from the scattered source rows; columns A:J untouched. NEW CALC BLOCK: Data rows 85-93. I86 is the mode flag (M = machine, P = project) derived via SEARCH so no fragile Persian string comparison is used. E91 = blue rate = Basic + MAX(0,MIN(erect,9)-3)*Add.Erect + MAX(0,MIN(test,3)-1)*Add.Test. E92 = blue reference rate. E93 = new validation V7 for the period caps. SWITCH POINTS — exactly five formulas changed, all downstream logic untouched: E12 hot-testing rate -&gt; IF(I86="M",0,&lt;original&gt;) because the blue basic rate already includes 1 month testing (double-count guard); E13 effective erection rate -&gt; IF(I86="M",E91,&lt;original&gt;); E14 reference rate -&gt; IF(I86="M",E92,&lt;original&gt;); D58 earthquake loading -&gt; IF(AND(I86="M",C90="No"),0,E21) per 2.5 'no additional rates for perils of nature unless return period under 10 years' — exposed as a user toggle rather than hard-coded, since much of Iran plausibly meets that exception; E76 validation V2 -&gt; reports OK in machine mode because for individual machines the basic rate IS the minimum rate (2.5), so the white-table floor E11 does not apply. BACKWARD COMPATIBILITY: default C52 = Entire Project =&gt; I86 = P =&gt; all five formulas evaluate to their original expressions, so existing quotes are bit-identical. Verified by LibreOffice UNO calculateAll() on the reference scenario. NOT IMPLEMENTED — INSUFFICIENT EVIDENCE: the separate large-sum-insured rebate table for individual machines (factors 0.95/0.925/0.90) is present in the source but its c-unit thresholds are garbled in the OCR text; deliberately omitted rather than guessed. ALSO NOT ADDRESSED: per 2.5 the blue basic rate already includes defective material/workmanship cover, so the Manufacturer's-Risk extension (E26/E27 path) would double-count if used in machine mode — left active pending user decision. Built by direct OOXML editing (never openpyxl round-trip) to preserve the x14 extension dropdowns; calcChain.xml omitted and fullCalcOnLoad retained.</t>
  </si>
  <si>
    <t xml:space="preserve">2026-07-21</t>
  </si>
  <si>
    <t xml:space="preserve">Claude (Anthropic) — Entire Project / Individual Machines rating-basis switch, v17</t>
  </si>
  <si>
    <t xml:space="preserve">دامنهٔ پروژه (Project Scope)</t>
  </si>
  <si>
    <t xml:space="preserve">کل پروژه = جداول سفید  ·  ماشین‌آلات منفرد = جداول آبی (بند ۲.۵ سوییس‌ری)</t>
  </si>
  <si>
    <t xml:space="preserve">زیرگروه پروژه  ⟨فقط حالت کل پروژه⟩</t>
  </si>
  <si>
    <t xml:space="preserve">ماشین منفرد  ⟨فقط حالت ماشین‌آلات منفرد⟩</t>
  </si>
  <si>
    <t xml:space="preserve">از جداول آبی — ۱۰۸ ماشین، با کد EAR برای جلوگیری از هم‌نامی</t>
  </si>
  <si>
    <t xml:space="preserve">مدت کل پروژه (ماه)  ⟨فقط حالت کل پروژه⟩</t>
  </si>
  <si>
    <t xml:space="preserve">ماه‌های نصب  ⟨ماشین منفرد⟩</t>
  </si>
  <si>
    <t xml:space="preserve">نرخ پایه شامل ۳ ماه است · قابل تمدید تا حداکثر ۹ ماه (بند ۲.۵)</t>
  </si>
  <si>
    <t xml:space="preserve">ماه‌های آزمایش  ⟨ماشین منفرد⟩</t>
  </si>
  <si>
    <t xml:space="preserve">نرخ پایه شامل ۱ ماه است · قابل تمدید تا حداکثر ۳ ماه (بند ۲.۵)</t>
  </si>
  <si>
    <t xml:space="preserve">ماشین‌آلات منفرد (Individual Machines)</t>
  </si>
  <si>
    <t xml:space="preserve">۶) تنظیم بلایای طبیعی برای حالت ماشین‌آلات منفرد</t>
  </si>
  <si>
    <t xml:space="preserve">v18 — Restructured the محاسبه-ساده input sheet so the Entire Project / Individual Machines fields follow the same layout as BLOCK 1 of the Data sheet in the updated EAR_Rating.xlsx (v7 5-Block engine). VISUAL/STRUCTURAL CHANGE ONLY — the calculation logic remains the Swiss Re Rating Guide logic implemented in v17, not the template's. NEW SECTION 1 ORDER (mirrors Block 1 fields 1.1-1.8): C9 Project Scope; C10 Industry Group; C11 Project Sub-Group (Entire Project only); C12 Individual Machine (Individual Machines only); C13 Total Project Duration (Entire Project only); C14 Erection Months (machine); C15 Testing Months (machine); C16 Province; C17 City. Labels carry ⟨scope⟩ markers exactly as Block 1 does. The nature-perils toggle, which has no Block 1 equivalent, stays in a slim section 6 at C56. ROW SHIFT: four rows inserted into section 1, so every row from the old 14 onward moved +4. All 39 cross-sheet references in the Data sheet were remapped in a single atomic pass; the 5 merged section headers, the 18 standard data validations and all 3 x14-extension dropdowns (sub-group C11, province C16, city C17) were re-pointed to their new rows and verified intact. New whole-number validations cap C14 at 0-9 and C15 at 0-3. DELIBERATE DIVERGENCES FROM THE TEMPLATE, on Swiss Re grounds — the template's Block 2 rate build-up was NOT copied: (1) The template matches machines on 'Rate-IndividualMachines'!$B$3:$B$87, i.e. bare descriptions. That range contains 8 rows all named 'Other individual machines, not specified elsewhere'. MATCH returns the first hit, so choosing that entry for any of the 7 later industries silently returns the Utilities rate. This workbook keeps matching on the EAR code + description key (unique across all 108 rows) built in v17. (2) The template applies MAX(0,months-3) and MAX(0,months-1) with no upper bound. Swiss Re 2.5 caps erection at 3+6=9 months and testing at 1+2=3 months, so this workbook keeps MIN(...,9) and MIN(...,3) plus validation V7. (3) The template's table covers 66 rated machines (rows 3:87); this workbook's covers all 108. (4) The template comments that individual machines have no minimum-rate floor. Swiss Re 2.5 states the basic rate IS simultaneously the minimum rate; effect is equivalent, wording corrected in V2. BACKWARD COMPATIBILITY: default scope remains Entire Project, and the reference scenario still returns the identical premium. Built by direct OOXML editing, never an openpyxl round-trip.</t>
  </si>
  <si>
    <t xml:space="preserve">2026-07-28</t>
  </si>
  <si>
    <t xml:space="preserve">Claude (Anthropic) — محاسبه-ساده restructured to Block-1 layout; Swiss Re logic retained, v18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</si>
</sst>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.00&quot; ‰&quot;"/>
    <numFmt numFmtId="165" formatCode="#,##0&quot; ﷼&quot;"/>
    <numFmt numFmtId="166" formatCode="0.000"/>
    <numFmt numFmtId="167" formatCode="0.0%"/>
  </numFmts>
  <fonts count="36">
    <font>
      <sz val="11"/>
      <color theme="1"/>
      <name val="Arial"/>
      <family val="2"/>
      <charset val="1"/>
    </font>
    <font>
      <b/>
      <sz val="12"/>
      <color rgb="FFFFFFFF"/>
      <name val="Arial"/>
      <charset val="1"/>
    </font>
    <font>
      <sz val="11"/>
      <name val="Arial"/>
      <charset val="1"/>
    </font>
    <font>
      <i/>
      <sz val="9"/>
      <color rgb="FF808080"/>
      <name val="Arial"/>
      <charset val="1"/>
    </font>
    <font>
      <b/>
      <sz val="11"/>
      <color rgb="FFC00000"/>
      <name val="Arial"/>
      <charset val="1"/>
    </font>
    <font>
      <b/>
      <sz val="10"/>
      <color rgb="FFFFFFFF"/>
      <name val="Arial"/>
      <charset val="1"/>
    </font>
    <font>
      <sz val="10"/>
      <name val="Arial"/>
      <charset val="1"/>
    </font>
    <font>
      <b/>
      <sz val="11"/>
      <name val="Arial"/>
      <charset val="1"/>
    </font>
    <font>
      <sz val="10"/>
      <name val="Calibri"/>
      <charset val="1"/>
    </font>
    <font>
      <sz val="10"/>
      <name val="Arial"/>
      <family val="2"/>
      <charset val="1"/>
    </font>
    <font>
      <sz val="12"/>
      <color theme="1"/>
      <name val="B Nazanin"/>
      <charset val="178"/>
    </font>
    <font>
      <sz val="11"/>
      <color rgb="FF091E42"/>
      <name val="Shabnam"/>
      <charset val="1"/>
    </font>
    <font>
      <sz val="8"/>
      <color rgb="FFAAAAAA"/>
      <name val="Arial"/>
      <charset val="1"/>
    </font>
    <font>
      <sz val="8"/>
      <name val="Arial"/>
      <charset val="1"/>
    </font>
    <font>
      <sz val="8"/>
      <color rgb="FF888888"/>
      <name val="Arial"/>
      <charset val="1"/>
    </font>
    <font>
      <sz val="9"/>
      <name val="Arial"/>
      <charset val="1"/>
    </font>
    <font>
      <sz val="7"/>
      <color rgb="FFCCCCCC"/>
      <name val="Arial"/>
      <charset val="1"/>
    </font>
    <font>
      <sz val="9"/>
      <color rgb="FF000000"/>
      <name val="Arial"/>
      <charset val="1"/>
    </font>
    <font>
      <b/>
      <sz val="10"/>
      <name val="Calibri"/>
      <charset val="1"/>
    </font>
    <font>
      <b/>
      <sz val="11"/>
      <color rgb="FFFFFFFF"/>
      <name val="Arial"/>
      <charset val="1"/>
    </font>
    <font>
      <b/>
      <sz val="9"/>
      <color rgb="FFFFFFFF"/>
      <name val="Arial"/>
      <charset val="1"/>
    </font>
    <font>
      <sz val="8"/>
      <color rgb="FF000000"/>
      <name val="Arial"/>
      <charset val="1"/>
    </font>
    <font>
      <b/>
      <sz val="11"/>
      <name val="Arial"/>
      <family val="2"/>
      <charset val="1"/>
    </font>
    <font>
      <i/>
      <sz val="9"/>
      <name val="Arial"/>
      <charset val="1"/>
    </font>
    <font>
      <b/>
      <sz val="14"/>
      <color rgb="FFFFFFFF"/>
      <name val="X Yekan"/>
    </font>
    <font>
      <sz val="14"/>
      <color theme="1"/>
      <name val="X Yekan"/>
    </font>
    <font>
      <sz val="14"/>
      <name val="X Yekan"/>
    </font>
    <font>
      <b/>
      <sz val="14"/>
      <color rgb="FF1F4E78"/>
      <name val="X Yekan"/>
    </font>
    <font>
      <sz val="14"/>
      <color rgb="FF808080"/>
      <name val="X Yekan"/>
    </font>
    <font>
      <b/>
      <sz val="14"/>
      <name val="X Yekan"/>
    </font>
    <font>
      <sz val="14"/>
      <color rgb="FF008000"/>
      <name val="X Yekan"/>
    </font>
    <font>
      <sz val="14"/>
      <color rgb="FF0000FF"/>
      <name val="X Yekan"/>
    </font>
    <font>
      <sz val="14"/>
      <color rgb="FF000000"/>
      <name val="X Yekan"/>
    </font>
    <font>
      <sz val="14"/>
      <color rgb="FF555555"/>
      <name val="X Yekan"/>
    </font>
    <font>
      <sz val="14"/>
      <color rgb="FF7F7F7F"/>
      <name val="X Yekan"/>
    </font>
    <font>
      <b/>
      <sz val="14"/>
      <color rgb="FFC00000"/>
      <name val="X Yekan"/>
    </font>
  </fonts>
  <fills count="28">
    <fill>
      <patternFill patternType="none"/>
    </fill>
    <fill>
      <patternFill patternType="gray125"/>
    </fill>
    <fill>
      <patternFill patternType="solid">
        <fgColor rgb="FF1F4E78"/>
        <bgColor rgb="FF1F4E79"/>
      </patternFill>
    </fill>
    <fill>
      <patternFill patternType="solid">
        <fgColor rgb="FF1B5E20"/>
        <bgColor rgb="FF375623"/>
      </patternFill>
    </fill>
    <fill>
      <patternFill patternType="solid">
        <fgColor rgb="FF2E7D32"/>
        <bgColor rgb="FF4E7031"/>
      </patternFill>
    </fill>
    <fill>
      <patternFill patternType="solid">
        <fgColor rgb="FF1565C0"/>
        <bgColor rgb="FF2E75B6"/>
      </patternFill>
    </fill>
    <fill>
      <patternFill patternType="solid">
        <fgColor rgb="FFFFF9E6"/>
        <bgColor rgb="FFFFF8E1"/>
      </patternFill>
    </fill>
    <fill>
      <patternFill patternType="solid">
        <fgColor rgb="FFB8860B"/>
        <bgColor rgb="FFFF9900"/>
      </patternFill>
    </fill>
    <fill>
      <patternFill patternType="solid">
        <fgColor rgb="FF6D6D6D"/>
        <bgColor rgb="FF7F7F7F"/>
      </patternFill>
    </fill>
    <fill>
      <patternFill patternType="solid">
        <fgColor rgb="FF7B1FA2"/>
        <bgColor rgb="FF800080"/>
      </patternFill>
    </fill>
    <fill>
      <patternFill patternType="solid">
        <fgColor rgb="FFFFF2CC"/>
        <bgColor rgb="FFFDEBD0"/>
      </patternFill>
    </fill>
    <fill>
      <patternFill patternType="solid">
        <fgColor rgb="FF808080"/>
        <bgColor rgb="FF7F7F7F"/>
      </patternFill>
    </fill>
    <fill>
      <patternFill patternType="solid">
        <fgColor rgb="FF2E75B6"/>
        <bgColor rgb="FF1565C0"/>
      </patternFill>
    </fill>
    <fill>
      <patternFill patternType="solid">
        <fgColor rgb="FFD9E1F2"/>
        <bgColor rgb="FFDEEAF1"/>
      </patternFill>
    </fill>
    <fill>
      <patternFill patternType="solid">
        <fgColor rgb="FFEBF5FB"/>
        <bgColor rgb="FFF5F5F5"/>
      </patternFill>
    </fill>
    <fill>
      <patternFill patternType="solid">
        <fgColor rgb="FFE2EFDA"/>
        <bgColor rgb="FFE8F5E9"/>
      </patternFill>
    </fill>
    <fill>
      <patternFill patternType="solid">
        <fgColor rgb="FFFDEBD0"/>
        <bgColor rgb="FFFFF2CC"/>
      </patternFill>
    </fill>
    <fill>
      <patternFill patternType="solid">
        <fgColor rgb="FF1F4E79"/>
        <bgColor rgb="FF1F4E78"/>
      </patternFill>
    </fill>
    <fill>
      <patternFill patternType="solid">
        <fgColor rgb="FFE8F5E9"/>
        <bgColor rgb="FFEBF5FB"/>
      </patternFill>
    </fill>
    <fill>
      <patternFill patternType="solid">
        <fgColor rgb="FFF5F5F5"/>
        <bgColor rgb="FFEBF5FB"/>
      </patternFill>
    </fill>
    <fill>
      <patternFill patternType="solid">
        <fgColor rgb="FFFFF8E1"/>
        <bgColor rgb="FFFFF9E6"/>
      </patternFill>
    </fill>
    <fill>
      <patternFill patternType="solid">
        <fgColor rgb="FFFFEBEE"/>
        <bgColor rgb="FFF5F5F5"/>
      </patternFill>
    </fill>
    <fill>
      <patternFill patternType="solid">
        <fgColor rgb="FFDDEBF7"/>
        <bgColor rgb="FFDEEAF1"/>
      </patternFill>
    </fill>
    <fill>
      <patternFill patternType="solid">
        <fgColor rgb="FFDEEAF1"/>
        <bgColor rgb="FFDDEBF7"/>
      </patternFill>
    </fill>
    <fill>
      <patternFill patternType="solid">
        <fgColor rgb="FF2E4057"/>
        <bgColor rgb="FF1F4E78"/>
      </patternFill>
    </fill>
    <fill>
      <patternFill patternType="solid">
        <fgColor rgb="FF375623"/>
        <bgColor rgb="FF1B5E20"/>
      </patternFill>
    </fill>
    <fill>
      <patternFill patternType="solid">
        <fgColor rgb="FF4E7031"/>
        <bgColor rgb="FF2E7D32"/>
      </patternFill>
    </fill>
    <fill>
      <patternFill patternType="solid">
        <fgColor rgb="FFFFFDE7"/>
        <bgColor rgb="FFFFF9E6"/>
      </patternFill>
    </fill>
  </fills>
  <borders count="5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BBBBBB"/>
      </left>
      <right style="thin">
        <color rgb="FFBBBBBB"/>
      </right>
      <top style="thin">
        <color rgb="FFBBBBBB"/>
      </top>
      <bottom style="thin">
        <color rgb="FFBBBBBB"/>
      </bottom>
      <diagonal/>
    </border>
    <border>
      <left style="thin">
        <color rgb="FFAAAAAA"/>
      </left>
      <right style="thin">
        <color rgb="FFAAAAAA"/>
      </right>
      <top style="thin">
        <color rgb="FFAAAAAA"/>
      </top>
      <bottom style="thin">
        <color rgb="FFAAAAAA"/>
      </bottom>
      <diagonal/>
    </border>
    <border>
      <left style="thin">
        <color rgb="FFAAAAAA"/>
      </left>
      <right/>
      <top style="thin">
        <color rgb="FFAAAAAA"/>
      </top>
      <bottom style="thin">
        <color rgb="FFAAAAAA"/>
      </bottom>
      <diagonal/>
    </border>
  </borders>
  <cellStyleXfs count="1">
    <xf numFmtId="0" fontId="0" fillId="0" borderId="0"/>
  </cellStyleXfs>
  <cellXfs count="129">
    <xf numFmtId="0" fontId="0" fillId="0" borderId="0" xfId="0"/>
    <xf numFmtId="0" fontId="8" fillId="0" borderId="0" xfId="0" applyFont="1"/>
    <xf numFmtId="0" fontId="8" fillId="0" borderId="0" xfId="0" applyFont="1" applyAlignment="1">
      <alignment horizontal="center" vertical="center"/>
    </xf>
    <xf numFmtId="0" fontId="6" fillId="0" borderId="0" xfId="0" applyFont="1"/>
    <xf numFmtId="0" fontId="0" fillId="0" borderId="0" xfId="0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11" fillId="0" borderId="0" xfId="0" applyFont="1" applyAlignment="1">
      <alignment horizontal="center" vertical="center"/>
    </xf>
    <xf numFmtId="49" fontId="0" fillId="0" borderId="0" xfId="0" applyNumberFormat="1" applyAlignment="1">
      <alignment horizontal="center" vertical="center"/>
    </xf>
    <xf numFmtId="0" fontId="5" fillId="14" borderId="2" xfId="0" applyFont="1" applyFill="1" applyBorder="1" applyAlignment="1">
      <alignment horizontal="center" vertical="center" wrapText="1"/>
    </xf>
    <xf numFmtId="0" fontId="5" fillId="15" borderId="2" xfId="0" applyFont="1" applyFill="1" applyBorder="1" applyAlignment="1">
      <alignment horizontal="center" vertical="center" wrapText="1"/>
    </xf>
    <xf numFmtId="0" fontId="5" fillId="16" borderId="2" xfId="0" applyFont="1" applyFill="1" applyBorder="1" applyAlignment="1">
      <alignment horizontal="center" vertical="center" wrapText="1"/>
    </xf>
    <xf numFmtId="49" fontId="5" fillId="4" borderId="0" xfId="0" applyNumberFormat="1" applyFont="1" applyFill="1" applyAlignment="1">
      <alignment horizontal="center" vertical="center"/>
    </xf>
    <xf numFmtId="0" fontId="12" fillId="0" borderId="0" xfId="0" applyFont="1"/>
    <xf numFmtId="0" fontId="8" fillId="0" borderId="0" xfId="0" applyFont="1" applyAlignment="1">
      <alignment vertical="top" wrapText="1"/>
    </xf>
    <xf numFmtId="0" fontId="8" fillId="14" borderId="2" xfId="0" applyFont="1" applyFill="1" applyBorder="1" applyAlignment="1">
      <alignment horizontal="center"/>
    </xf>
    <xf numFmtId="0" fontId="8" fillId="15" borderId="2" xfId="0" applyFont="1" applyFill="1" applyBorder="1" applyAlignment="1">
      <alignment horizontal="center"/>
    </xf>
    <xf numFmtId="0" fontId="8" fillId="16" borderId="2" xfId="0" applyFont="1" applyFill="1" applyBorder="1" applyAlignment="1">
      <alignment horizontal="center" wrapText="1"/>
    </xf>
    <xf numFmtId="0" fontId="13" fillId="0" borderId="0" xfId="0" applyFont="1"/>
    <xf numFmtId="0" fontId="14" fillId="0" borderId="0" xfId="0" applyFont="1"/>
    <xf numFmtId="0" fontId="6" fillId="0" borderId="0" xfId="0" applyFont="1" applyAlignment="1">
      <alignment vertical="top" wrapText="1"/>
    </xf>
    <xf numFmtId="0" fontId="2" fillId="0" borderId="0" xfId="0" applyFont="1" applyAlignment="1">
      <alignment horizontal="center" vertical="center"/>
    </xf>
    <xf numFmtId="0" fontId="15" fillId="14" borderId="2" xfId="0" applyFont="1" applyFill="1" applyBorder="1" applyAlignment="1">
      <alignment horizontal="center"/>
    </xf>
    <xf numFmtId="0" fontId="15" fillId="15" borderId="2" xfId="0" applyFont="1" applyFill="1" applyBorder="1" applyAlignment="1">
      <alignment horizontal="center"/>
    </xf>
    <xf numFmtId="0" fontId="15" fillId="16" borderId="2" xfId="0" applyFont="1" applyFill="1" applyBorder="1" applyAlignment="1">
      <alignment horizontal="center" wrapText="1"/>
    </xf>
    <xf numFmtId="0" fontId="5" fillId="17" borderId="3" xfId="0" applyFont="1" applyFill="1" applyBorder="1" applyAlignment="1">
      <alignment horizontal="center" vertical="center" wrapText="1"/>
    </xf>
    <xf numFmtId="0" fontId="16" fillId="0" borderId="0" xfId="0" applyFont="1"/>
    <xf numFmtId="0" fontId="17" fillId="18" borderId="3" xfId="0" applyFont="1" applyFill="1" applyBorder="1" applyAlignment="1">
      <alignment horizontal="left" vertical="center" wrapText="1"/>
    </xf>
    <xf numFmtId="0" fontId="8" fillId="18" borderId="3" xfId="0" applyFont="1" applyFill="1" applyBorder="1" applyAlignment="1">
      <alignment horizontal="left" vertical="center" wrapText="1"/>
    </xf>
    <xf numFmtId="0" fontId="17" fillId="19" borderId="3" xfId="0" applyFont="1" applyFill="1" applyBorder="1" applyAlignment="1">
      <alignment horizontal="left" vertical="center" wrapText="1"/>
    </xf>
    <xf numFmtId="0" fontId="17" fillId="20" borderId="3" xfId="0" applyFont="1" applyFill="1" applyBorder="1" applyAlignment="1">
      <alignment horizontal="left" vertical="center" wrapText="1"/>
    </xf>
    <xf numFmtId="0" fontId="17" fillId="21" borderId="3" xfId="0" applyFont="1" applyFill="1" applyBorder="1" applyAlignment="1">
      <alignment horizontal="left" vertical="center" wrapText="1"/>
    </xf>
    <xf numFmtId="0" fontId="1" fillId="12" borderId="0" xfId="0" applyFont="1" applyFill="1" applyAlignment="1">
      <alignment horizontal="center" vertical="center"/>
    </xf>
    <xf numFmtId="0" fontId="5" fillId="12" borderId="3" xfId="0" applyFont="1" applyFill="1" applyBorder="1" applyAlignment="1">
      <alignment horizontal="center" vertical="center" wrapText="1"/>
    </xf>
    <xf numFmtId="0" fontId="5" fillId="4" borderId="3" xfId="0" applyFont="1" applyFill="1" applyBorder="1" applyAlignment="1">
      <alignment horizontal="center" vertical="center" wrapText="1"/>
    </xf>
    <xf numFmtId="0" fontId="5" fillId="4" borderId="0" xfId="0" applyFont="1" applyFill="1"/>
    <xf numFmtId="0" fontId="18" fillId="22" borderId="3" xfId="0" applyFont="1" applyFill="1" applyBorder="1"/>
    <xf numFmtId="0" fontId="8" fillId="0" borderId="3" xfId="0" applyFont="1" applyBorder="1" applyAlignment="1">
      <alignment vertical="center" wrapText="1"/>
    </xf>
    <xf numFmtId="0" fontId="6" fillId="0" borderId="3" xfId="0" applyFont="1" applyBorder="1" applyAlignment="1">
      <alignment vertical="center" wrapText="1"/>
    </xf>
    <xf numFmtId="0" fontId="8" fillId="23" borderId="3" xfId="0" applyFont="1" applyFill="1" applyBorder="1"/>
    <xf numFmtId="0" fontId="8" fillId="23" borderId="4" xfId="0" applyFont="1" applyFill="1" applyBorder="1" applyAlignment="1">
      <alignment wrapText="1"/>
    </xf>
    <xf numFmtId="0" fontId="18" fillId="22" borderId="3" xfId="0" applyFont="1" applyFill="1" applyBorder="1" applyAlignment="1">
      <alignment vertical="center" wrapText="1"/>
    </xf>
    <xf numFmtId="0" fontId="18" fillId="22" borderId="0" xfId="0" applyFont="1" applyFill="1"/>
    <xf numFmtId="0" fontId="5" fillId="4" borderId="0" xfId="0" applyFont="1" applyFill="1" applyAlignment="1">
      <alignment wrapText="1"/>
    </xf>
    <xf numFmtId="0" fontId="15" fillId="0" borderId="3" xfId="0" applyFont="1" applyBorder="1"/>
    <xf numFmtId="0" fontId="0" fillId="0" borderId="3" xfId="0" applyBorder="1"/>
    <xf numFmtId="0" fontId="15" fillId="10" borderId="3" xfId="0" applyFont="1" applyFill="1" applyBorder="1"/>
    <xf numFmtId="0" fontId="5" fillId="26" borderId="3" xfId="0" applyFont="1" applyFill="1" applyBorder="1" applyAlignment="1">
      <alignment horizontal="center" vertical="center" wrapText="1"/>
    </xf>
    <xf numFmtId="0" fontId="20" fillId="26" borderId="2" xfId="0" applyFont="1" applyFill="1" applyBorder="1" applyAlignment="1">
      <alignment horizontal="center" vertical="center" wrapText="1"/>
    </xf>
    <xf numFmtId="0" fontId="8" fillId="0" borderId="2" xfId="0" applyFont="1" applyBorder="1" applyAlignment="1">
      <alignment vertical="center"/>
    </xf>
    <xf numFmtId="0" fontId="13" fillId="0" borderId="2" xfId="0" applyFont="1" applyBorder="1" applyAlignment="1">
      <alignment vertical="center"/>
    </xf>
    <xf numFmtId="0" fontId="17" fillId="0" borderId="3" xfId="0" applyFont="1" applyBorder="1" applyAlignment="1">
      <alignment horizontal="left" vertical="center" wrapText="1"/>
    </xf>
    <xf numFmtId="0" fontId="21" fillId="27" borderId="0" xfId="0" applyFont="1" applyFill="1" applyAlignment="1">
      <alignment horizontal="left" vertical="center" wrapText="1"/>
    </xf>
    <xf numFmtId="0" fontId="22" fillId="0" borderId="0" xfId="0" applyFont="1"/>
    <xf numFmtId="0" fontId="0" fillId="0" borderId="0" xfId="0" applyAlignment="1">
      <alignment vertical="top" wrapText="1"/>
    </xf>
    <xf numFmtId="0" fontId="15" fillId="0" borderId="0" xfId="0" applyFont="1" applyAlignment="1">
      <alignment vertical="top" wrapText="1"/>
    </xf>
    <xf numFmtId="0" fontId="5" fillId="2" borderId="2" xfId="0" applyFont="1" applyFill="1" applyBorder="1" applyAlignment="1">
      <alignment horizontal="center" vertical="center" wrapText="1"/>
    </xf>
    <xf numFmtId="0" fontId="6" fillId="0" borderId="2" xfId="0" applyFont="1" applyBorder="1" applyAlignment="1">
      <alignment horizontal="center" vertical="center"/>
    </xf>
    <xf numFmtId="0" fontId="6" fillId="0" borderId="2" xfId="0" applyFont="1" applyBorder="1" applyAlignment="1">
      <alignment horizontal="center" vertical="center" wrapText="1"/>
    </xf>
    <xf numFmtId="0" fontId="5" fillId="2" borderId="0" xfId="0" applyFont="1" applyFill="1" applyAlignment="1">
      <alignment horizontal="center" wrapText="1"/>
    </xf>
    <xf numFmtId="0" fontId="6" fillId="0" borderId="2" xfId="0" applyFont="1" applyBorder="1" applyAlignment="1">
      <alignment horizontal="center"/>
    </xf>
    <xf numFmtId="0" fontId="7" fillId="0" borderId="0" xfId="0" applyFont="1"/>
    <xf numFmtId="0" fontId="18" fillId="22" borderId="4" xfId="0" applyFont="1" applyFill="1" applyBorder="1" applyAlignment="1">
      <alignment wrapText="1"/>
    </xf>
    <xf numFmtId="0" fontId="18" fillId="22" borderId="3" xfId="0" applyFont="1" applyFill="1" applyBorder="1" applyAlignment="1">
      <alignment vertical="center" wrapText="1"/>
    </xf>
    <xf numFmtId="0" fontId="18" fillId="22" borderId="0" xfId="0" applyFont="1" applyFill="1"/>
    <xf numFmtId="0" fontId="19" fillId="17" borderId="0" xfId="0" applyFont="1" applyFill="1" applyAlignment="1">
      <alignment horizontal="center" vertical="center"/>
    </xf>
    <xf numFmtId="0" fontId="5" fillId="24" borderId="0" xfId="0" applyFont="1" applyFill="1" applyAlignment="1">
      <alignment horizontal="left" vertical="center"/>
    </xf>
    <xf numFmtId="0" fontId="15" fillId="0" borderId="3" xfId="0" applyFont="1" applyBorder="1"/>
    <xf numFmtId="0" fontId="1" fillId="25" borderId="0" xfId="0" applyFont="1" applyFill="1" applyAlignment="1">
      <alignment horizontal="center" vertical="center"/>
    </xf>
    <xf numFmtId="0" fontId="5" fillId="26" borderId="0" xfId="0" applyFont="1" applyFill="1" applyAlignment="1">
      <alignment horizontal="left"/>
    </xf>
    <xf numFmtId="0" fontId="4" fillId="0" borderId="0" xfId="0" applyFont="1" applyAlignment="1">
      <alignment vertical="center" wrapText="1"/>
    </xf>
    <xf numFmtId="0" fontId="17" fillId="0" borderId="3" xfId="0" applyFont="1" applyBorder="1" applyAlignment="1">
      <alignment horizontal="left" vertical="center" wrapText="1"/>
    </xf>
    <xf numFmtId="0" fontId="3" fillId="0" borderId="0" xfId="0" applyFont="1"/>
    <xf numFmtId="0" fontId="23" fillId="0" borderId="0" xfId="0" applyFont="1" applyAlignment="1">
      <alignment vertical="top" wrapText="1"/>
    </xf>
    <xf numFmtId="0" fontId="23" fillId="0" borderId="0" xfId="0" applyFont="1" applyAlignment="1">
      <alignment wrapText="1"/>
    </xf>
    <xf numFmtId="0" fontId="24" fillId="2" borderId="0" xfId="0" applyFont="1" applyFill="1" applyAlignment="1">
      <alignment horizontal="center" vertical="center" readingOrder="2"/>
    </xf>
    <xf numFmtId="0" fontId="25" fillId="0" borderId="0" xfId="0" applyFont="1" applyAlignment="1">
      <alignment horizontal="center" vertical="center" readingOrder="2"/>
    </xf>
    <xf numFmtId="0" fontId="24" fillId="3" borderId="0" xfId="0" applyFont="1" applyFill="1" applyAlignment="1">
      <alignment horizontal="center" vertical="center" readingOrder="2"/>
    </xf>
    <xf numFmtId="0" fontId="24" fillId="4" borderId="0" xfId="0" applyFont="1" applyFill="1" applyAlignment="1">
      <alignment horizontal="center" vertical="center" readingOrder="2"/>
    </xf>
    <xf numFmtId="164" fontId="24" fillId="4" borderId="0" xfId="0" applyNumberFormat="1" applyFont="1" applyFill="1" applyAlignment="1">
      <alignment horizontal="center" vertical="center" readingOrder="2"/>
    </xf>
    <xf numFmtId="165" fontId="24" fillId="4" borderId="0" xfId="0" applyNumberFormat="1" applyFont="1" applyFill="1" applyAlignment="1">
      <alignment horizontal="center" vertical="center" readingOrder="2"/>
    </xf>
    <xf numFmtId="0" fontId="24" fillId="5" borderId="0" xfId="0" applyFont="1" applyFill="1" applyAlignment="1">
      <alignment horizontal="center" vertical="center" readingOrder="2"/>
    </xf>
    <xf numFmtId="0" fontId="26" fillId="0" borderId="0" xfId="0" applyFont="1" applyAlignment="1">
      <alignment horizontal="center" vertical="center" wrapText="1" readingOrder="2"/>
    </xf>
    <xf numFmtId="0" fontId="27" fillId="6" borderId="1" xfId="0" applyFont="1" applyFill="1" applyBorder="1" applyAlignment="1">
      <alignment horizontal="center" vertical="center" readingOrder="2"/>
    </xf>
    <xf numFmtId="0" fontId="28" fillId="0" borderId="0" xfId="0" applyFont="1" applyAlignment="1">
      <alignment horizontal="center" vertical="center" wrapText="1" readingOrder="2"/>
    </xf>
    <xf numFmtId="3" fontId="27" fillId="6" borderId="1" xfId="0" applyNumberFormat="1" applyFont="1" applyFill="1" applyBorder="1" applyAlignment="1">
      <alignment horizontal="center" vertical="center" readingOrder="2"/>
    </xf>
    <xf numFmtId="0" fontId="24" fillId="7" borderId="0" xfId="0" applyFont="1" applyFill="1" applyAlignment="1">
      <alignment horizontal="center" vertical="center" readingOrder="2"/>
    </xf>
    <xf numFmtId="0" fontId="24" fillId="8" borderId="0" xfId="0" applyFont="1" applyFill="1" applyAlignment="1">
      <alignment horizontal="center" vertical="center" readingOrder="2"/>
    </xf>
    <xf numFmtId="0" fontId="24" fillId="9" borderId="0" xfId="0" applyFont="1" applyFill="1" applyAlignment="1">
      <alignment horizontal="center" vertical="center" readingOrder="2"/>
    </xf>
    <xf numFmtId="0" fontId="29" fillId="2" borderId="0" xfId="0" applyFont="1" applyFill="1" applyAlignment="1">
      <alignment horizontal="center" vertical="center" readingOrder="2"/>
    </xf>
    <xf numFmtId="0" fontId="26" fillId="11" borderId="0" xfId="0" applyFont="1" applyFill="1" applyAlignment="1">
      <alignment horizontal="center" vertical="center" wrapText="1" readingOrder="2"/>
    </xf>
    <xf numFmtId="0" fontId="24" fillId="11" borderId="0" xfId="0" applyFont="1" applyFill="1" applyAlignment="1">
      <alignment horizontal="center" vertical="center" wrapText="1" readingOrder="2"/>
    </xf>
    <xf numFmtId="0" fontId="29" fillId="12" borderId="0" xfId="0" applyFont="1" applyFill="1" applyAlignment="1">
      <alignment horizontal="center" vertical="center" readingOrder="2"/>
    </xf>
    <xf numFmtId="0" fontId="26" fillId="0" borderId="0" xfId="0" applyFont="1" applyAlignment="1">
      <alignment horizontal="center" vertical="center" readingOrder="2"/>
    </xf>
    <xf numFmtId="0" fontId="26" fillId="10" borderId="0" xfId="0" applyFont="1" applyFill="1" applyAlignment="1">
      <alignment horizontal="center" vertical="center" readingOrder="2"/>
    </xf>
    <xf numFmtId="1" fontId="26" fillId="10" borderId="0" xfId="0" applyNumberFormat="1" applyFont="1" applyFill="1" applyAlignment="1">
      <alignment horizontal="center" vertical="center" readingOrder="2"/>
    </xf>
    <xf numFmtId="0" fontId="29" fillId="0" borderId="0" xfId="0" applyFont="1" applyAlignment="1">
      <alignment horizontal="center" vertical="center" wrapText="1" readingOrder="2"/>
    </xf>
    <xf numFmtId="0" fontId="28" fillId="0" borderId="0" xfId="0" applyFont="1" applyAlignment="1">
      <alignment horizontal="center" vertical="center" readingOrder="2"/>
    </xf>
    <xf numFmtId="166" fontId="26" fillId="0" borderId="0" xfId="0" applyNumberFormat="1" applyFont="1" applyAlignment="1">
      <alignment horizontal="center" vertical="center" readingOrder="2"/>
    </xf>
    <xf numFmtId="1" fontId="26" fillId="0" borderId="0" xfId="0" applyNumberFormat="1" applyFont="1" applyAlignment="1">
      <alignment horizontal="center" vertical="center" readingOrder="2"/>
    </xf>
    <xf numFmtId="0" fontId="30" fillId="0" borderId="0" xfId="0" applyFont="1" applyAlignment="1">
      <alignment horizontal="center" vertical="center" readingOrder="2"/>
    </xf>
    <xf numFmtId="2" fontId="26" fillId="0" borderId="0" xfId="0" applyNumberFormat="1" applyFont="1" applyAlignment="1">
      <alignment horizontal="center" vertical="center" readingOrder="2"/>
    </xf>
    <xf numFmtId="3" fontId="26" fillId="10" borderId="0" xfId="0" applyNumberFormat="1" applyFont="1" applyFill="1" applyAlignment="1">
      <alignment horizontal="center" vertical="center" readingOrder="2"/>
    </xf>
    <xf numFmtId="3" fontId="26" fillId="0" borderId="0" xfId="0" applyNumberFormat="1" applyFont="1" applyAlignment="1">
      <alignment horizontal="center" vertical="center" wrapText="1" readingOrder="2"/>
    </xf>
    <xf numFmtId="0" fontId="29" fillId="0" borderId="0" xfId="0" applyFont="1" applyAlignment="1">
      <alignment horizontal="center" vertical="center" readingOrder="2"/>
    </xf>
    <xf numFmtId="0" fontId="26" fillId="0" borderId="0" xfId="0" applyFont="1" applyAlignment="1">
      <alignment horizontal="center" vertical="center" wrapText="1" readingOrder="2"/>
    </xf>
    <xf numFmtId="167" fontId="26" fillId="10" borderId="0" xfId="0" applyNumberFormat="1" applyFont="1" applyFill="1" applyAlignment="1">
      <alignment horizontal="center" vertical="center" readingOrder="2"/>
    </xf>
    <xf numFmtId="0" fontId="26" fillId="12" borderId="0" xfId="0" applyFont="1" applyFill="1" applyAlignment="1">
      <alignment horizontal="center" vertical="center" readingOrder="2"/>
    </xf>
    <xf numFmtId="0" fontId="29" fillId="0" borderId="0" xfId="0" applyFont="1" applyAlignment="1">
      <alignment horizontal="center" vertical="center" readingOrder="2"/>
    </xf>
    <xf numFmtId="3" fontId="26" fillId="0" borderId="0" xfId="0" applyNumberFormat="1" applyFont="1" applyAlignment="1">
      <alignment horizontal="center" vertical="center" readingOrder="2"/>
    </xf>
    <xf numFmtId="0" fontId="31" fillId="10" borderId="0" xfId="0" applyFont="1" applyFill="1" applyAlignment="1">
      <alignment horizontal="center" vertical="center" readingOrder="2"/>
    </xf>
    <xf numFmtId="3" fontId="32" fillId="0" borderId="0" xfId="0" applyNumberFormat="1" applyFont="1" applyAlignment="1">
      <alignment horizontal="center" vertical="center" readingOrder="2"/>
    </xf>
    <xf numFmtId="3" fontId="26" fillId="11" borderId="0" xfId="0" applyNumberFormat="1" applyFont="1" applyFill="1" applyAlignment="1">
      <alignment horizontal="center" vertical="center" wrapText="1" readingOrder="2"/>
    </xf>
    <xf numFmtId="166" fontId="26" fillId="10" borderId="0" xfId="0" applyNumberFormat="1" applyFont="1" applyFill="1" applyAlignment="1">
      <alignment horizontal="center" vertical="center" readingOrder="2"/>
    </xf>
    <xf numFmtId="166" fontId="32" fillId="0" borderId="0" xfId="0" applyNumberFormat="1" applyFont="1" applyAlignment="1">
      <alignment horizontal="center" vertical="center" readingOrder="2"/>
    </xf>
    <xf numFmtId="0" fontId="33" fillId="0" borderId="0" xfId="0" applyFont="1" applyAlignment="1">
      <alignment horizontal="center" vertical="center" wrapText="1" readingOrder="2"/>
    </xf>
    <xf numFmtId="3" fontId="31" fillId="10" borderId="0" xfId="0" applyNumberFormat="1" applyFont="1" applyFill="1" applyAlignment="1">
      <alignment horizontal="center" vertical="center" readingOrder="2"/>
    </xf>
    <xf numFmtId="2" fontId="31" fillId="10" borderId="0" xfId="0" applyNumberFormat="1" applyFont="1" applyFill="1" applyAlignment="1">
      <alignment horizontal="center" vertical="center" readingOrder="2"/>
    </xf>
    <xf numFmtId="3" fontId="26" fillId="13" borderId="0" xfId="0" applyNumberFormat="1" applyFont="1" applyFill="1" applyAlignment="1">
      <alignment horizontal="center" vertical="center" readingOrder="2"/>
    </xf>
    <xf numFmtId="167" fontId="31" fillId="10" borderId="0" xfId="0" applyNumberFormat="1" applyFont="1" applyFill="1" applyAlignment="1">
      <alignment horizontal="center" vertical="center" readingOrder="2"/>
    </xf>
    <xf numFmtId="0" fontId="32" fillId="0" borderId="0" xfId="0" applyFont="1" applyAlignment="1">
      <alignment horizontal="center" vertical="center" wrapText="1" readingOrder="2"/>
    </xf>
    <xf numFmtId="0" fontId="32" fillId="0" borderId="0" xfId="0" applyFont="1" applyAlignment="1">
      <alignment horizontal="center" vertical="center" readingOrder="2"/>
    </xf>
    <xf numFmtId="0" fontId="29" fillId="0" borderId="2" xfId="0" applyFont="1" applyBorder="1" applyAlignment="1">
      <alignment horizontal="center" vertical="center" wrapText="1" readingOrder="2"/>
    </xf>
    <xf numFmtId="0" fontId="29" fillId="0" borderId="2" xfId="0" applyFont="1" applyBorder="1" applyAlignment="1">
      <alignment horizontal="center" vertical="center" wrapText="1" readingOrder="2"/>
    </xf>
    <xf numFmtId="0" fontId="25" fillId="0" borderId="2" xfId="0" applyFont="1" applyBorder="1" applyAlignment="1">
      <alignment horizontal="center" vertical="center" wrapText="1" readingOrder="2"/>
    </xf>
    <xf numFmtId="0" fontId="29" fillId="10" borderId="2" xfId="0" applyFont="1" applyFill="1" applyBorder="1" applyAlignment="1">
      <alignment horizontal="center" vertical="center" wrapText="1" readingOrder="2"/>
    </xf>
    <xf numFmtId="0" fontId="34" fillId="0" borderId="2" xfId="0" applyFont="1" applyBorder="1" applyAlignment="1">
      <alignment horizontal="center" vertical="center" wrapText="1" readingOrder="2"/>
    </xf>
    <xf numFmtId="0" fontId="35" fillId="0" borderId="2" xfId="0" applyFont="1" applyBorder="1" applyAlignment="1">
      <alignment horizontal="center" vertical="center" wrapText="1" readingOrder="2"/>
    </xf>
    <xf numFmtId="0" fontId="24" fillId="2" borderId="2" xfId="0" applyFont="1" applyFill="1" applyBorder="1" applyAlignment="1">
      <alignment horizontal="center" vertical="center" wrapText="1" readingOrder="2"/>
    </xf>
    <xf numFmtId="0" fontId="26" fillId="0" borderId="2" xfId="0" applyFont="1" applyBorder="1" applyAlignment="1">
      <alignment horizontal="center" vertical="center" wrapText="1" readingOrder="2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C00000"/>
      <rgbColor rgb="FF00FF00"/>
      <rgbColor rgb="FF0000FF"/>
      <rgbColor rgb="FFFFF9E6"/>
      <rgbColor rgb="FFFF00FF"/>
      <rgbColor rgb="FF00FFFF"/>
      <rgbColor rgb="FF800000"/>
      <rgbColor rgb="FF008000"/>
      <rgbColor rgb="FF000080"/>
      <rgbColor rgb="FFB8860B"/>
      <rgbColor rgb="FF7B1FA2"/>
      <rgbColor rgb="FF1F4E78"/>
      <rgbColor rgb="FFBBBBBB"/>
      <rgbColor rgb="FF808080"/>
      <rgbColor rgb="FFAAAAAA"/>
      <rgbColor rgb="FF555555"/>
      <rgbColor rgb="FFFFF8E1"/>
      <rgbColor rgb="FFDDEBF7"/>
      <rgbColor rgb="FF660066"/>
      <rgbColor rgb="FFF5F5F5"/>
      <rgbColor rgb="FF1565C0"/>
      <rgbColor rgb="FFCCCCCC"/>
      <rgbColor rgb="FF000080"/>
      <rgbColor rgb="FFFF00FF"/>
      <rgbColor rgb="FFFFFDE7"/>
      <rgbColor rgb="FF00FFFF"/>
      <rgbColor rgb="FF800080"/>
      <rgbColor rgb="FF800000"/>
      <rgbColor rgb="FF4E7031"/>
      <rgbColor rgb="FF0000FF"/>
      <rgbColor rgb="FF00CCFF"/>
      <rgbColor rgb="FFE8F5E9"/>
      <rgbColor rgb="FFE2EFDA"/>
      <rgbColor rgb="FFFFF2CC"/>
      <rgbColor rgb="FFD9D9D9"/>
      <rgbColor rgb="FFFFEBEE"/>
      <rgbColor rgb="FFD9E1F2"/>
      <rgbColor rgb="FFFDEBD0"/>
      <rgbColor rgb="FF2E75B6"/>
      <rgbColor rgb="FF33CCCC"/>
      <rgbColor rgb="FFEBF5FB"/>
      <rgbColor rgb="FFDEEAF1"/>
      <rgbColor rgb="FFFF9900"/>
      <rgbColor rgb="FFFF6600"/>
      <rgbColor rgb="FF6D6D6D"/>
      <rgbColor rgb="FF888888"/>
      <rgbColor rgb="FF091E42"/>
      <rgbColor rgb="FF2E7D32"/>
      <rgbColor rgb="FF1B5E20"/>
      <rgbColor rgb="FF375623"/>
      <rgbColor rgb="FF993300"/>
      <rgbColor rgb="FF7F7F7F"/>
      <rgbColor rgb="FF1F4E79"/>
      <rgbColor rgb="FF2E4057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</a:majorFont>
      <a:minorFont>
        <a:latin typeface="Aptos Narrow" panose="02110004020202020204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/>
        </a:gradFill>
      </a:fillStyleLst>
      <a:lnStyleLst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  <a:ln w="2540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56"/>
  <sheetViews>
    <sheetView showGridLines="0" tabSelected="1" zoomScaleNormal="100" workbookViewId="0">
      <pane ySplit="6" topLeftCell="A7" activePane="bottomLeft" state="frozen"/>
      <selection activeCell="C28" sqref="C28"/>
      <selection pane="bottomLeft" activeCell="C13" sqref="C13"/>
    </sheetView>
  </sheetViews>
  <sheetFormatPr baseColWidth="10" defaultColWidth="8.6640625" defaultRowHeight="21"/>
  <cols>
    <col min="1" max="1" width="3" style="75" customWidth="1"/>
    <col min="2" max="2" width="40.6640625" style="75" bestFit="1" customWidth="1"/>
    <col min="3" max="3" width="58.6640625" style="75" bestFit="1" customWidth="1"/>
    <col min="4" max="4" width="32" style="75" customWidth="1"/>
    <col min="5" max="16384" width="8.6640625" style="75"/>
  </cols>
  <sheetData>
    <row r="1" spans="1:4">
      <c r="A1" s="74" t="s">
        <v>0</v>
      </c>
      <c r="B1" s="74"/>
      <c r="C1" s="74"/>
      <c r="D1" s="74"/>
    </row>
    <row r="3" spans="1:4">
      <c r="A3" s="76" t="str">
        <f>IF(AND(LEFT(Data!E75,1)="✓",LEFT(Data!E76,1)="✓",LEFT(Data!E77,1)="✓",LEFT(Data!E79,1)="✓",LEFT(Data!E80,1)="✓",LEFT(Data!E93,1)="✓"),"🟢 آماده محاسبه — همهٔ ورودی‌ها معتبرند","🔴 یکی از ورودی‌ها را بررسی کنید (شیت Data ردیف‌های K را ببینید)")</f>
        <v>🟢 آماده محاسبه — همهٔ ورودی‌ها معتبرند</v>
      </c>
      <c r="B3" s="76"/>
      <c r="C3" s="76"/>
      <c r="D3" s="76"/>
    </row>
    <row r="4" spans="1:4">
      <c r="A4" s="77" t="s">
        <v>1</v>
      </c>
      <c r="B4" s="77"/>
      <c r="C4" s="78">
        <f>Data!D60</f>
        <v>4.0999999999999996</v>
      </c>
      <c r="D4" s="78"/>
    </row>
    <row r="5" spans="1:4">
      <c r="A5" s="77" t="s">
        <v>2</v>
      </c>
      <c r="B5" s="77"/>
      <c r="C5" s="79">
        <f>Data!E73</f>
        <v>165480129095</v>
      </c>
      <c r="D5" s="79"/>
    </row>
    <row r="8" spans="1:4">
      <c r="A8" s="80" t="s">
        <v>3</v>
      </c>
      <c r="B8" s="80"/>
      <c r="C8" s="80"/>
      <c r="D8" s="80"/>
    </row>
    <row r="9" spans="1:4" ht="22">
      <c r="B9" s="81" t="s">
        <v>2612</v>
      </c>
      <c r="C9" s="82" t="s">
        <v>2577</v>
      </c>
      <c r="D9" s="83" t="s">
        <v>2613</v>
      </c>
    </row>
    <row r="10" spans="1:4" ht="22">
      <c r="B10" s="81" t="s">
        <v>4</v>
      </c>
      <c r="C10" s="82" t="s">
        <v>5</v>
      </c>
      <c r="D10" s="83" t="s">
        <v>6</v>
      </c>
    </row>
    <row r="11" spans="1:4" ht="22">
      <c r="B11" s="81" t="s">
        <v>2614</v>
      </c>
      <c r="C11" s="82" t="s">
        <v>8</v>
      </c>
      <c r="D11" s="83" t="s">
        <v>9</v>
      </c>
    </row>
    <row r="12" spans="1:4" ht="22">
      <c r="B12" s="81" t="s">
        <v>2615</v>
      </c>
      <c r="C12" s="82" t="s">
        <v>2462</v>
      </c>
      <c r="D12" s="83" t="s">
        <v>2616</v>
      </c>
    </row>
    <row r="13" spans="1:4" ht="22">
      <c r="B13" s="81" t="s">
        <v>2617</v>
      </c>
      <c r="C13" s="82">
        <v>15</v>
      </c>
      <c r="D13" s="83" t="s">
        <v>11</v>
      </c>
    </row>
    <row r="14" spans="1:4" ht="22">
      <c r="B14" s="81" t="s">
        <v>2618</v>
      </c>
      <c r="C14" s="82">
        <v>3</v>
      </c>
      <c r="D14" s="83" t="s">
        <v>2619</v>
      </c>
    </row>
    <row r="15" spans="1:4" ht="22">
      <c r="B15" s="81" t="s">
        <v>2620</v>
      </c>
      <c r="C15" s="82">
        <v>1</v>
      </c>
      <c r="D15" s="83" t="s">
        <v>2621</v>
      </c>
    </row>
    <row r="16" spans="1:4" ht="22">
      <c r="B16" s="81" t="s">
        <v>12</v>
      </c>
      <c r="C16" s="82" t="s">
        <v>13</v>
      </c>
      <c r="D16" s="83" t="s">
        <v>6</v>
      </c>
    </row>
    <row r="17" spans="1:4" ht="44">
      <c r="B17" s="81" t="s">
        <v>14</v>
      </c>
      <c r="C17" s="82" t="s">
        <v>13</v>
      </c>
      <c r="D17" s="83" t="str">
        <f>"بر اساس استان فیلتر می‌شود  ·  سطح خطر زلزلهٔ شهر انتخابی: "&amp;Data!E7</f>
        <v>بر اساس استان فیلتر می‌شود  ·  سطح خطر زلزلهٔ شهر انتخابی: زیاد</v>
      </c>
    </row>
    <row r="19" spans="1:4">
      <c r="A19" s="77" t="s">
        <v>15</v>
      </c>
      <c r="B19" s="77"/>
      <c r="C19" s="77"/>
      <c r="D19" s="77"/>
    </row>
    <row r="20" spans="1:4" ht="22">
      <c r="B20" s="81" t="s">
        <v>16</v>
      </c>
      <c r="C20" s="84">
        <v>30638794500000</v>
      </c>
      <c r="D20" s="83" t="s">
        <v>17</v>
      </c>
    </row>
    <row r="21" spans="1:4" ht="22">
      <c r="B21" s="81" t="s">
        <v>18</v>
      </c>
      <c r="C21" s="84">
        <v>6127758900000</v>
      </c>
      <c r="D21" s="83" t="s">
        <v>19</v>
      </c>
    </row>
    <row r="22" spans="1:4" ht="22">
      <c r="B22" s="81" t="s">
        <v>2453</v>
      </c>
      <c r="C22" s="82" t="s">
        <v>22</v>
      </c>
      <c r="D22" s="83" t="s">
        <v>2454</v>
      </c>
    </row>
    <row r="23" spans="1:4">
      <c r="A23" s="85" t="s">
        <v>20</v>
      </c>
      <c r="B23" s="85"/>
      <c r="C23" s="85"/>
      <c r="D23" s="85"/>
    </row>
    <row r="24" spans="1:4" ht="22">
      <c r="B24" s="81" t="s">
        <v>21</v>
      </c>
      <c r="C24" s="82" t="s">
        <v>22</v>
      </c>
      <c r="D24" s="83" t="s">
        <v>23</v>
      </c>
    </row>
    <row r="25" spans="1:4" ht="44">
      <c r="B25" s="81" t="s">
        <v>24</v>
      </c>
      <c r="C25" s="82" t="s">
        <v>25</v>
      </c>
      <c r="D25" s="83" t="s">
        <v>26</v>
      </c>
    </row>
    <row r="26" spans="1:4" ht="22">
      <c r="B26" s="81" t="s">
        <v>2450</v>
      </c>
      <c r="C26" s="82">
        <v>0</v>
      </c>
      <c r="D26" s="83" t="s">
        <v>27</v>
      </c>
    </row>
    <row r="27" spans="1:4" ht="22">
      <c r="B27" s="81" t="s">
        <v>2451</v>
      </c>
      <c r="C27" s="82">
        <v>0</v>
      </c>
      <c r="D27" s="83" t="s">
        <v>27</v>
      </c>
    </row>
    <row r="28" spans="1:4" ht="22">
      <c r="B28" s="81" t="s">
        <v>28</v>
      </c>
      <c r="C28" s="82">
        <v>2</v>
      </c>
      <c r="D28" s="83" t="s">
        <v>29</v>
      </c>
    </row>
    <row r="29" spans="1:4" ht="22">
      <c r="B29" s="81" t="s">
        <v>30</v>
      </c>
      <c r="C29" s="82">
        <v>3</v>
      </c>
      <c r="D29" s="83" t="s">
        <v>31</v>
      </c>
    </row>
    <row r="30" spans="1:4" ht="22">
      <c r="B30" s="81" t="s">
        <v>32</v>
      </c>
      <c r="C30" s="82" t="s">
        <v>33</v>
      </c>
      <c r="D30" s="83" t="s">
        <v>34</v>
      </c>
    </row>
    <row r="31" spans="1:4" ht="22">
      <c r="B31" s="81" t="s">
        <v>35</v>
      </c>
      <c r="C31" s="82" t="s">
        <v>36</v>
      </c>
      <c r="D31" s="83" t="s">
        <v>2452</v>
      </c>
    </row>
    <row r="32" spans="1:4" ht="22">
      <c r="B32" s="81" t="s">
        <v>37</v>
      </c>
      <c r="C32" s="82" t="s">
        <v>22</v>
      </c>
      <c r="D32" s="83" t="s">
        <v>38</v>
      </c>
    </row>
    <row r="34" spans="1:4">
      <c r="A34" s="86" t="s">
        <v>39</v>
      </c>
      <c r="B34" s="86"/>
      <c r="C34" s="86"/>
      <c r="D34" s="86"/>
    </row>
    <row r="35" spans="1:4" ht="44">
      <c r="B35" s="81" t="s">
        <v>40</v>
      </c>
      <c r="C35" s="82">
        <v>0</v>
      </c>
      <c r="D35" s="83" t="s">
        <v>41</v>
      </c>
    </row>
    <row r="36" spans="1:4" ht="22">
      <c r="B36" s="81" t="s">
        <v>42</v>
      </c>
      <c r="C36" s="82">
        <v>0</v>
      </c>
      <c r="D36" s="83" t="s">
        <v>41</v>
      </c>
    </row>
    <row r="37" spans="1:4" ht="22">
      <c r="B37" s="81" t="s">
        <v>43</v>
      </c>
      <c r="C37" s="82">
        <v>0</v>
      </c>
      <c r="D37" s="83" t="s">
        <v>44</v>
      </c>
    </row>
    <row r="38" spans="1:4" ht="44">
      <c r="B38" s="81" t="s">
        <v>45</v>
      </c>
      <c r="C38" s="82">
        <v>0</v>
      </c>
      <c r="D38" s="83" t="s">
        <v>46</v>
      </c>
    </row>
    <row r="39" spans="1:4" ht="22">
      <c r="B39" s="81" t="s">
        <v>47</v>
      </c>
      <c r="C39" s="82" t="s">
        <v>48</v>
      </c>
      <c r="D39" s="83" t="s">
        <v>49</v>
      </c>
    </row>
    <row r="40" spans="1:4" ht="22">
      <c r="B40" s="81" t="s">
        <v>50</v>
      </c>
      <c r="C40" s="84">
        <v>0</v>
      </c>
      <c r="D40" s="83" t="s">
        <v>41</v>
      </c>
    </row>
    <row r="41" spans="1:4" ht="44">
      <c r="B41" s="81" t="s">
        <v>51</v>
      </c>
      <c r="C41" s="82">
        <v>0</v>
      </c>
      <c r="D41" s="83" t="s">
        <v>52</v>
      </c>
    </row>
    <row r="42" spans="1:4" ht="22">
      <c r="B42" s="81" t="s">
        <v>53</v>
      </c>
      <c r="C42" s="84">
        <v>0</v>
      </c>
      <c r="D42" s="83" t="s">
        <v>41</v>
      </c>
    </row>
    <row r="43" spans="1:4" ht="22">
      <c r="B43" s="81" t="s">
        <v>54</v>
      </c>
      <c r="C43" s="82">
        <v>0</v>
      </c>
      <c r="D43" s="83" t="s">
        <v>41</v>
      </c>
    </row>
    <row r="44" spans="1:4" ht="22">
      <c r="B44" s="81" t="s">
        <v>55</v>
      </c>
      <c r="C44" s="84">
        <v>0</v>
      </c>
      <c r="D44" s="83" t="s">
        <v>41</v>
      </c>
    </row>
    <row r="45" spans="1:4" ht="22">
      <c r="B45" s="81" t="s">
        <v>56</v>
      </c>
      <c r="C45" s="84">
        <v>0</v>
      </c>
      <c r="D45" s="83" t="s">
        <v>41</v>
      </c>
    </row>
    <row r="46" spans="1:4" ht="22">
      <c r="B46" s="81" t="s">
        <v>57</v>
      </c>
      <c r="C46" s="82" t="s">
        <v>58</v>
      </c>
      <c r="D46" s="83" t="s">
        <v>59</v>
      </c>
    </row>
    <row r="47" spans="1:4" ht="22">
      <c r="B47" s="81" t="s">
        <v>60</v>
      </c>
      <c r="C47" s="84">
        <v>0</v>
      </c>
      <c r="D47" s="83" t="s">
        <v>41</v>
      </c>
    </row>
    <row r="48" spans="1:4" ht="44">
      <c r="B48" s="81" t="s">
        <v>61</v>
      </c>
      <c r="C48" s="82" t="s">
        <v>62</v>
      </c>
      <c r="D48" s="83" t="s">
        <v>63</v>
      </c>
    </row>
    <row r="50" spans="1:4">
      <c r="A50" s="87" t="s">
        <v>64</v>
      </c>
      <c r="B50" s="87"/>
      <c r="C50" s="87"/>
      <c r="D50" s="87"/>
    </row>
    <row r="51" spans="1:4" ht="22">
      <c r="B51" s="81" t="s">
        <v>65</v>
      </c>
      <c r="C51" s="82">
        <v>0</v>
      </c>
      <c r="D51" s="83" t="s">
        <v>66</v>
      </c>
    </row>
    <row r="52" spans="1:4" ht="22">
      <c r="B52" s="81" t="s">
        <v>67</v>
      </c>
      <c r="C52" s="82">
        <v>0</v>
      </c>
      <c r="D52" s="83" t="s">
        <v>68</v>
      </c>
    </row>
    <row r="53" spans="2:4" ht="22">
      <c r="B53" s="81" t="s">
        <v>69</v>
      </c>
      <c r="C53" s="82">
        <v>0.1</v>
      </c>
      <c r="D53" s="83" t="s">
        <v>70</v>
      </c>
    </row>
    <row r="55" spans="1:4">
      <c r="A55" s="86" t="s">
        <v>2623</v>
      </c>
      <c r="B55" s="86"/>
      <c r="C55" s="86"/>
      <c r="D55" s="86"/>
    </row>
    <row r="56" spans="2:4" ht="22">
      <c r="B56" s="81" t="s">
        <v>2585</v>
      </c>
      <c r="C56" s="82" t="s">
        <v>2587</v>
      </c>
      <c r="D56" s="83" t="s">
        <v>2586</v>
      </c>
    </row>
  </sheetData>
  <mergeCells count="12">
    <mergeCell ref="A55:D55"/>
    <mergeCell ref="A8:D8"/>
    <mergeCell ref="A19:D19"/>
    <mergeCell ref="A23:D23"/>
    <mergeCell ref="A34:D34"/>
    <mergeCell ref="A50:D50"/>
    <mergeCell ref="A1:D1"/>
    <mergeCell ref="A3:D3"/>
    <mergeCell ref="A4:B4"/>
    <mergeCell ref="C4:D4"/>
    <mergeCell ref="A5:B5"/>
    <mergeCell ref="C5:D5"/>
  </mergeCells>
  <dataValidations count="18">
    <dataValidation type="whole" operator="between" allowBlank="1" sqref="C14" xr:uid="{00000000-0002-0000-0000-0000F4000000}">
      <formula1>0</formula1>
      <formula2>9</formula2>
    </dataValidation>
    <dataValidation type="whole" operator="between" allowBlank="1" sqref="C15" xr:uid="{00000000-0002-0000-0000-0000F5000000}">
      <formula1>0</formula1>
      <formula2>3</formula2>
    </dataValidation>
    <dataValidation type="list" sqref="C9" xr:uid="{00000000-0002-0000-0000-0000F1000000}">
      <formula1>"کل پروژه (Entire Project),ماشین‌آلات منفرد (Individual Machines)"</formula1>
      <formula2>0</formula2>
    </dataValidation>
    <dataValidation type="list" sqref="C12" xr:uid="{00000000-0002-0000-0000-0000F2000000}">
      <formula1>EAR_Machines</formula1>
      <formula2>0</formula2>
    </dataValidation>
    <dataValidation type="list" sqref="C56" xr:uid="{00000000-0002-0000-0000-0000F3000000}">
      <formula1>"No,Yes"</formula1>
      <formula2>0</formula2>
    </dataValidation>
    <dataValidation type="list" sqref="C22" xr:uid="{00000000-0002-0000-0000-0000FF000000}">
      <formula1>"Yes,No"</formula1>
      <formula2>0</formula2>
    </dataValidation>
    <dataValidation type="list" sqref="C10" xr:uid="{00000000-0002-0000-0000-000000000000}">
      <formula1>EAR_Groups</formula1>
      <formula2>0</formula2>
    </dataValidation>
    <dataValidation type="whole" operator="greaterThanOrEqual" sqref="C13" xr:uid="{00000000-0002-0000-0000-000002000000}">
      <formula1>1</formula1>
      <formula2>0</formula2>
    </dataValidation>
    <dataValidation type="list" sqref="C24" xr:uid="{00000000-0002-0000-0000-000005000000}">
      <formula1>"Yes,No"</formula1>
      <formula2>0</formula2>
    </dataValidation>
    <dataValidation type="list" sqref="C25" xr:uid="{00000000-0002-0000-0000-000006000000}">
      <formula1>"Light,Heavy"</formula1>
      <formula2>0</formula2>
    </dataValidation>
    <dataValidation type="whole" operator="greaterThanOrEqual" sqref="C26:C27 C35:C36 C43" xr:uid="{00000000-0002-0000-0000-000007000000}">
      <formula1>0</formula1>
      <formula2>0</formula2>
    </dataValidation>
    <dataValidation type="list" sqref="C28" xr:uid="{00000000-0002-0000-0000-000008000000}">
      <formula1>"1,2,3,4"</formula1>
      <formula2>0</formula2>
    </dataValidation>
    <dataValidation type="list" sqref="C29" xr:uid="{00000000-0002-0000-0000-000009000000}">
      <formula1>"1,2,3,4,5,6"</formula1>
      <formula2>0</formula2>
    </dataValidation>
    <dataValidation type="list" sqref="C30" xr:uid="{00000000-0002-0000-0000-00000A000000}">
      <formula1>"I (Light),II (Medium),III (Heavy)"</formula1>
      <formula2>0</formula2>
    </dataValidation>
    <dataValidation type="list" sqref="C31" xr:uid="{00000000-0002-0000-0000-00000B000000}">
      <formula1>"a — isolated site,b — outer town (moderate density),c — central/urban"</formula1>
      <formula2>0</formula2>
    </dataValidation>
    <dataValidation type="list" sqref="C32 C48" xr:uid="{00000000-0002-0000-0000-00000C000000}">
      <formula1>"No,Yes"</formula1>
      <formula2>0</formula2>
    </dataValidation>
    <dataValidation type="list" sqref="C39" xr:uid="{00000000-0002-0000-0000-00000D000000}">
      <formula1>"Erection period,Testing/Commissioning period"</formula1>
      <formula2>0</formula2>
    </dataValidation>
    <dataValidation type="list" sqref="C46" xr:uid="{00000000-0002-0000-0000-00000E000000}">
      <formula1>"Not included — existing property not covered,Yes — Existing property,WITH explosion risk,Yes — Existing property,WITHOUT explosion risk"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xr:uid="{00000000-0002-0000-0000-000001000000}">
          <x14:formula1>
            <xm:f>INDIRECT(Data!$J$5)</xm:f>
          </x14:formula1>
          <x14:formula2>
            <xm:f>0</xm:f>
          </x14:formula2>
          <xm:sqref>C11</xm:sqref>
        </x14:dataValidation>
        <x14:dataValidation type="list" xr:uid="{00000000-0002-0000-0000-000003000000}">
          <x14:formula1>
            <xm:f>'Hazard-Province-Index'!$B$2:$B$31</xm:f>
          </x14:formula1>
          <x14:formula2>
            <xm:f>0</xm:f>
          </x14:formula2>
          <xm:sqref>C16</xm:sqref>
        </x14:dataValidation>
        <x14:dataValidation type="list" xr:uid="{00000000-0002-0000-0000-000004000000}">
          <x14:formula1>
            <xm:f>INDIRECT(Data!$H$8)</xm:f>
          </x14:formula1>
          <x14:formula2>
            <xm:f>0</xm:f>
          </x14:formula2>
          <xm:sqref>C17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93"/>
  <sheetViews>
    <sheetView showGridLines="0" zoomScaleNormal="100" workbookViewId="0">
      <pane ySplit="2" topLeftCell="A3" activePane="bottomLeft" state="frozen"/>
      <selection activeCell="C28" sqref="C28"/>
      <selection pane="bottomLeft" activeCell="C28" sqref="C28"/>
    </sheetView>
  </sheetViews>
  <sheetFormatPr baseColWidth="10" defaultColWidth="8.5" defaultRowHeight="21"/>
  <cols>
    <col min="1" max="1" width="5" style="75" bestFit="1" customWidth="1"/>
    <col min="2" max="2" width="57.33203125" style="75" bestFit="1" customWidth="1"/>
    <col min="3" max="3" width="58.6640625" style="75" bestFit="1" customWidth="1"/>
    <col min="4" max="4" width="9.83203125" style="75" bestFit="1" customWidth="1"/>
    <col min="5" max="5" width="31.1640625" style="75" bestFit="1" customWidth="1"/>
    <col min="6" max="6" width="106.33203125" style="75" customWidth="1"/>
    <col min="7" max="7" width="52.5" style="75" bestFit="1" customWidth="1"/>
    <col min="8" max="8" width="91.1640625" style="75" bestFit="1" customWidth="1"/>
    <col min="9" max="9" width="20.1640625" style="75" bestFit="1" customWidth="1"/>
    <col min="10" max="10" width="25.1640625" style="75" bestFit="1" customWidth="1"/>
    <col min="11" max="16384" width="8.5" style="75"/>
  </cols>
  <sheetData>
    <row r="1" spans="1:10">
      <c r="A1" s="88" t="s">
        <v>103</v>
      </c>
      <c r="B1" s="88"/>
      <c r="C1" s="88"/>
      <c r="D1" s="88"/>
      <c r="E1" s="88"/>
      <c r="F1" s="88"/>
    </row>
    <row r="2" spans="1:10" ht="22">
      <c r="A2" s="89" t="s">
        <v>104</v>
      </c>
      <c r="B2" s="89" t="s">
        <v>105</v>
      </c>
      <c r="C2" s="89" t="s">
        <v>106</v>
      </c>
      <c r="D2" s="90"/>
      <c r="E2" s="89" t="s">
        <v>107</v>
      </c>
      <c r="F2" s="89" t="s">
        <v>108</v>
      </c>
    </row>
    <row r="3" spans="1:10">
      <c r="A3" s="91" t="s">
        <v>109</v>
      </c>
      <c r="B3" s="91"/>
      <c r="C3" s="91"/>
      <c r="D3" s="91"/>
      <c r="E3" s="91"/>
      <c r="F3" s="91"/>
    </row>
    <row r="4" spans="1:10" ht="22">
      <c r="A4" s="92" t="s">
        <v>110</v>
      </c>
      <c r="B4" s="81" t="s">
        <v>111</v>
      </c>
      <c r="C4" s="93" t="str">
        <f>'محاسبه-ساده'!C10</f>
        <v>05 — Metal Industry</v>
      </c>
      <c r="F4" s="81" t="s">
        <v>112</v>
      </c>
    </row>
    <row r="5" spans="1:10" ht="22">
      <c r="A5" s="92" t="s">
        <v>113</v>
      </c>
      <c r="B5" s="81" t="s">
        <v>114</v>
      </c>
      <c r="C5" s="93" t="str">
        <f>'محاسبه-ساده'!C11</f>
        <v>12.5 Paint factories and processing of comparable products</v>
      </c>
      <c r="F5" s="81" t="s">
        <v>115</v>
      </c>
      <c r="I5" s="92" t="str">
        <f>SUBSTITUTE(SUBSTITUTE(SUBSTITUTE(SUBSTITUTE(SUBSTITUTE(SUBSTITUTE(SUBSTITUTE(C4," ","_"),"-","_"),"—","_"),"(","_"),")","_"),"&amp;","_"),"/","_")</f>
        <v>05___Metal_Industry</v>
      </c>
      <c r="J5" s="92" t="str">
        <f>"EAR_"&amp;I5</f>
        <v>EAR_05___Metal_Industry</v>
      </c>
    </row>
    <row r="6" spans="1:10" ht="22">
      <c r="A6" s="92" t="s">
        <v>116</v>
      </c>
      <c r="B6" s="81" t="s">
        <v>117</v>
      </c>
      <c r="C6" s="94">
        <f>'محاسبه-ساده'!C13</f>
        <v>15</v>
      </c>
      <c r="F6" s="81" t="s">
        <v>118</v>
      </c>
    </row>
    <row r="7" spans="1:10" ht="44">
      <c r="A7" s="92" t="s">
        <v>119</v>
      </c>
      <c r="B7" s="81" t="s">
        <v>120</v>
      </c>
      <c r="C7" s="93" t="str">
        <f>'محاسبه-ساده'!C16</f>
        <v>قم</v>
      </c>
      <c r="E7" s="92" t="str">
        <f>IFERROR(INDEX('Hazard-Cities-2800'!$E:$E,MATCH($C$8&amp;" — "&amp;$C$7,'Hazard-Cities-2800'!$B:$B,0)),"#not found")</f>
        <v>زیاد</v>
      </c>
      <c r="F7" s="81" t="s">
        <v>121</v>
      </c>
      <c r="G7" s="95"/>
      <c r="I7" s="96"/>
      <c r="J7" s="96"/>
    </row>
    <row r="8" spans="1:10" ht="198">
      <c r="A8" s="81" t="s">
        <v>122</v>
      </c>
      <c r="B8" s="81" t="s">
        <v>123</v>
      </c>
      <c r="C8" s="81" t="str">
        <f>'محاسبه-ساده'!C17</f>
        <v>قم</v>
      </c>
      <c r="F8" s="81" t="s">
        <v>124</v>
      </c>
      <c r="H8" s="83" t="str">
        <f>IFERROR(INDEX('Hazard-Province-Index'!$C:$C,MATCH($C$7,'Hazard-Province-Index'!$B:$B,0)),"#unknown province")</f>
        <v>HZP_17</v>
      </c>
      <c r="I8" s="83" t="s">
        <v>125</v>
      </c>
    </row>
    <row r="9" spans="1:10">
      <c r="A9" s="91" t="s">
        <v>126</v>
      </c>
      <c r="B9" s="91"/>
      <c r="C9" s="91"/>
      <c r="D9" s="91"/>
      <c r="E9" s="91"/>
      <c r="F9" s="91"/>
    </row>
    <row r="10" spans="1:10" ht="22">
      <c r="A10" s="92" t="s">
        <v>127</v>
      </c>
      <c r="B10" s="81" t="s">
        <v>128</v>
      </c>
      <c r="E10" s="92">
        <f>IFERROR(IF($C$6&lt;=1,INDEX('Rate-SubGroup'!$B$2:$B$152,MATCH($C$5,'Rate-SubGroup'!$A$2:$A$152,0)),IF($C$6&lt;=12,INDEX('Rate-SubGroup'!$B$2:$B$152,MATCH($C$5,'Rate-SubGroup'!$A$2:$A$152,0))+($C$6-1)*INDEX('Rate-SubGroup'!$C$2:$C$152,MATCH($C$5,'Rate-SubGroup'!$A$2:$A$152,0)),IF($C$6&lt;=24,INDEX('Rate-SubGroup'!$B$2:$B$152,MATCH($C$5,'Rate-SubGroup'!$A$2:$A$152,0))+11*INDEX('Rate-SubGroup'!$C$2:$C$152,MATCH($C$5,'Rate-SubGroup'!$A$2:$A$152,0))+($C$6-12)*INDEX('Rate-SubGroup'!$D$2:$D$152,MATCH($C$5,'Rate-SubGroup'!$A$2:$A$152,0)),INDEX('Rate-SubGroup'!$B$2:$B$152,MATCH($C$5,'Rate-SubGroup'!$A$2:$A$152,0))+11*INDEX('Rate-SubGroup'!$C$2:$C$152,MATCH($C$5,'Rate-SubGroup'!$A$2:$A$152,0))+12*INDEX('Rate-SubGroup'!$D$2:$D$152,MATCH($C$5,'Rate-SubGroup'!$A$2:$A$152,0))+($C$6-24)*INDEX('Rate-SubGroup'!$E$2:$E$152,MATCH($C$5,'Rate-SubGroup'!$A$2:$A$152,0))))),"#sub-group not found")</f>
        <v>3.0249999999999999</v>
      </c>
      <c r="F10" s="81" t="s">
        <v>129</v>
      </c>
    </row>
    <row r="11" spans="1:10" ht="22">
      <c r="A11" s="92" t="s">
        <v>130</v>
      </c>
      <c r="B11" s="81" t="s">
        <v>131</v>
      </c>
      <c r="E11" s="92">
        <f>IFERROR(INDEX('Rate-SubGroup'!$H$2:$H$152,MATCH($C$5,'Rate-SubGroup'!$A$2:$A$152,0)),"")</f>
        <v>3.65</v>
      </c>
      <c r="F11" s="81" t="s">
        <v>132</v>
      </c>
    </row>
    <row r="12" spans="1:10" ht="22">
      <c r="A12" s="92" t="s">
        <v>133</v>
      </c>
      <c r="B12" s="81" t="s">
        <v>134</v>
      </c>
      <c r="C12" s="93" t="str">
        <f>'محاسبه-ساده'!C24</f>
        <v>Yes</v>
      </c>
      <c r="E12" s="92">
        <f>IF($I$86="M",0,IF($C$12="Yes",IFERROR(INDEX('Rate-SubGroup'!$F$2:$F$152,MATCH($C$5,'Rate-SubGroup'!$A$2:$A$152,0)),0),0))</f>
        <v>0.45</v>
      </c>
      <c r="F12" s="81" t="s">
        <v>135</v>
      </c>
    </row>
    <row r="13" spans="1:10" ht="22">
      <c r="A13" s="92" t="s">
        <v>136</v>
      </c>
      <c r="B13" s="81" t="s">
        <v>137</v>
      </c>
      <c r="E13" s="97">
        <f>IF($I$86="M",$E$91,IFERROR(MAX(E10,E11),0))</f>
        <v>3.65</v>
      </c>
      <c r="F13" s="81" t="s">
        <v>138</v>
      </c>
    </row>
    <row r="14" spans="1:10" ht="22">
      <c r="A14" s="92" t="s">
        <v>139</v>
      </c>
      <c r="B14" s="81" t="s">
        <v>140</v>
      </c>
      <c r="E14" s="81">
        <f>IF($I$86="M",$E$92,IFERROR(INDEX('Rate-SubGroup'!$G$2:$G$152,MATCH($C$5,'Rate-SubGroup'!$A$2:$A$152,0)),0))</f>
        <v>3</v>
      </c>
      <c r="F14" s="81" t="s">
        <v>141</v>
      </c>
    </row>
    <row r="15" spans="1:10">
      <c r="A15" s="91" t="s">
        <v>142</v>
      </c>
      <c r="B15" s="91"/>
      <c r="C15" s="91"/>
      <c r="D15" s="91"/>
      <c r="E15" s="91"/>
      <c r="F15" s="91"/>
      <c r="G15" s="96" t="s">
        <v>143</v>
      </c>
    </row>
    <row r="16" spans="1:10" ht="22">
      <c r="A16" s="92" t="s">
        <v>144</v>
      </c>
      <c r="B16" s="81" t="s">
        <v>145</v>
      </c>
      <c r="C16" s="94">
        <f>'محاسبه-ساده'!C28</f>
        <v>2</v>
      </c>
      <c r="E16" s="92">
        <f>IFERROR(INDEX('Rate-EQ-SwissRe'!$D$5:$D$8,MATCH($C$16,'Rate-EQ-SwissRe'!$A$5:$A$8,0)),"#invalid class")</f>
        <v>2</v>
      </c>
      <c r="F16" s="81" t="s">
        <v>146</v>
      </c>
    </row>
    <row r="17" spans="1:8" ht="22">
      <c r="A17" s="92" t="s">
        <v>147</v>
      </c>
      <c r="B17" s="81" t="s">
        <v>148</v>
      </c>
      <c r="C17" s="94">
        <f>'محاسبه-ساده'!C29</f>
        <v>3</v>
      </c>
      <c r="E17" s="92">
        <f>IFERROR(INDEX('Rate-EQ-SwissRe'!$D$12:$D$17,MATCH($C$17,'Rate-EQ-SwissRe'!$A$12:$A$17,0)),"#invalid class")</f>
        <v>2</v>
      </c>
      <c r="F17" s="81" t="s">
        <v>149</v>
      </c>
    </row>
    <row r="18" spans="1:8" ht="22">
      <c r="A18" s="92" t="s">
        <v>150</v>
      </c>
      <c r="B18" s="81" t="s">
        <v>151</v>
      </c>
      <c r="E18" s="98">
        <f>E16*E17</f>
        <v>4</v>
      </c>
      <c r="F18" s="81" t="s">
        <v>152</v>
      </c>
      <c r="G18" s="96">
        <f>IF(E18&lt;=1,1,IF(E18&lt;=1.5,1.5,IF(E18&lt;=2,2,IF(E18&lt;=2.5,2.5,IF(E18&lt;=3,3,IF(E18&lt;=4,4,IF(E18&lt;=5,5,IF(E18&lt;=6,6,IF(E18&lt;=8,8,IF(E18&lt;=10,10,IF(E18&lt;=12.5,12.5,IF(E18&lt;=15,15,20))))))))))))</f>
        <v>4</v>
      </c>
      <c r="H18" s="96" t="s">
        <v>153</v>
      </c>
    </row>
    <row r="19" spans="1:8" ht="44">
      <c r="A19" s="92" t="s">
        <v>154</v>
      </c>
      <c r="B19" s="81" t="s">
        <v>155</v>
      </c>
      <c r="D19" s="99"/>
      <c r="E19" s="100" t="str">
        <f>IFERROR(INDEX('Rate-EQ-SwissRe'!$B$21:$B$24,MATCH($E$7,'Rate-EQ-SwissRe'!$A$21:$A$24,0)),"#level not mapped")</f>
        <v>C</v>
      </c>
      <c r="F19" s="81" t="s">
        <v>2428</v>
      </c>
      <c r="G19" s="96">
        <f>IFERROR(INDEX('Rate-EQ-SwissRe'!$B$29:$F$41,MATCH($G$18,'Rate-EQ-SwissRe'!$A$29:$A$41,0),MATCH($E$19,{"A","B","C","D","E"},0)),0)</f>
        <v>0</v>
      </c>
      <c r="H19" s="96" t="s">
        <v>156</v>
      </c>
    </row>
    <row r="20" spans="1:8" ht="22">
      <c r="A20" s="92" t="s">
        <v>157</v>
      </c>
      <c r="B20" s="81" t="s">
        <v>158</v>
      </c>
      <c r="C20" s="93" t="str">
        <f>'محاسبه-ساده'!C48</f>
        <v>No</v>
      </c>
      <c r="F20" s="81" t="s">
        <v>159</v>
      </c>
    </row>
    <row r="21" spans="1:8" ht="66">
      <c r="A21" s="92" t="s">
        <v>160</v>
      </c>
      <c r="B21" s="81" t="s">
        <v>161</v>
      </c>
      <c r="E21" s="92">
        <f>IF($C$20="Yes",0,ROUND($G$19*$C$6,4))</f>
        <v>0</v>
      </c>
      <c r="F21" s="81" t="s">
        <v>162</v>
      </c>
    </row>
    <row r="22" spans="1:8">
      <c r="A22" s="91" t="s">
        <v>163</v>
      </c>
      <c r="B22" s="91"/>
      <c r="C22" s="91"/>
      <c r="D22" s="91"/>
      <c r="E22" s="91"/>
      <c r="F22" s="91"/>
    </row>
    <row r="23" spans="1:8" ht="22">
      <c r="A23" s="92" t="s">
        <v>164</v>
      </c>
      <c r="B23" s="81" t="s">
        <v>2451</v>
      </c>
      <c r="C23" s="93" t="str">
        <f>'محاسبه-ساده'!C46</f>
        <v>Not included — existing property not covered</v>
      </c>
      <c r="D23" s="101">
        <f>'محاسبه-ساده'!C47</f>
        <v>0</v>
      </c>
      <c r="E23" s="97">
        <f>IFERROR(VLOOKUP($C$23,'Rate-Asset'!$A:$B,2,0),0)</f>
        <v>0</v>
      </c>
      <c r="F23" s="81" t="s">
        <v>2429</v>
      </c>
    </row>
    <row r="24" spans="1:8" ht="22">
      <c r="A24" s="92" t="s">
        <v>165</v>
      </c>
      <c r="B24" s="81" t="s">
        <v>2430</v>
      </c>
      <c r="E24" s="102">
        <f>ROUND(E23*D23/1000,0)</f>
        <v>0</v>
      </c>
      <c r="F24" s="81" t="s">
        <v>166</v>
      </c>
    </row>
    <row r="25" spans="1:8">
      <c r="A25" s="91" t="s">
        <v>167</v>
      </c>
      <c r="B25" s="91"/>
      <c r="C25" s="91"/>
      <c r="D25" s="91"/>
      <c r="E25" s="91"/>
      <c r="F25" s="91"/>
    </row>
    <row r="26" spans="1:8">
      <c r="A26" s="103" t="s">
        <v>168</v>
      </c>
      <c r="B26" s="104" t="s">
        <v>169</v>
      </c>
      <c r="C26" s="104"/>
      <c r="D26" s="104"/>
      <c r="E26" s="104"/>
      <c r="F26" s="104"/>
    </row>
    <row r="27" spans="1:8" ht="44">
      <c r="A27" s="92" t="s">
        <v>170</v>
      </c>
      <c r="B27" s="81" t="s">
        <v>171</v>
      </c>
      <c r="C27" s="94">
        <f>'محاسبه-ساده'!C35</f>
        <v>0</v>
      </c>
      <c r="D27" s="75" t="s">
        <v>2452</v>
      </c>
      <c r="E27" s="97">
        <f>IF(C27&lt;=0,0,IF(C27&lt;=3,0.05,IF(C27&lt;=6,0.075,0.1))*E14)</f>
        <v>0</v>
      </c>
      <c r="F27" s="81" t="s">
        <v>172</v>
      </c>
    </row>
    <row r="28" spans="1:8" ht="44">
      <c r="A28" s="92" t="s">
        <v>173</v>
      </c>
      <c r="B28" s="81" t="s">
        <v>174</v>
      </c>
      <c r="C28" s="94">
        <f>'محاسبه-ساده'!C36</f>
        <v>0</v>
      </c>
      <c r="E28" s="97">
        <f>IF(C28&lt;=0,0,IF(C28&lt;=3,0.05,IF(C28&lt;=6,0.075,0.1))*E14)</f>
        <v>0</v>
      </c>
      <c r="F28" s="81" t="s">
        <v>175</v>
      </c>
    </row>
    <row r="29" spans="1:8" ht="22">
      <c r="A29" s="92" t="s">
        <v>176</v>
      </c>
      <c r="B29" s="81" t="s">
        <v>177</v>
      </c>
      <c r="C29" s="93" t="str">
        <f>'محاسبه-ساده'!C25</f>
        <v>Heavy</v>
      </c>
      <c r="F29" s="81" t="s">
        <v>178</v>
      </c>
    </row>
    <row r="30" spans="1:8" ht="22">
      <c r="A30" s="92" t="s">
        <v>179</v>
      </c>
      <c r="B30" s="81" t="s">
        <v>180</v>
      </c>
      <c r="C30" s="94">
        <f>'محاسبه-ساده'!C26</f>
        <v>0</v>
      </c>
      <c r="E30" s="97">
        <f>IF(C30&lt;=0,0,IF(C29="Heavy",0.075,0.05)*E14*(C30/12))</f>
        <v>0</v>
      </c>
      <c r="F30" s="81" t="s">
        <v>181</v>
      </c>
    </row>
    <row r="31" spans="1:8" ht="22">
      <c r="A31" s="92" t="s">
        <v>182</v>
      </c>
      <c r="B31" s="81" t="s">
        <v>183</v>
      </c>
      <c r="C31" s="94">
        <f>'محاسبه-ساده'!C27</f>
        <v>0</v>
      </c>
      <c r="E31" s="97">
        <f>IF(C31&lt;=0,0,IF(C29="Heavy",0.125,0.075)*E14*(C31/12))</f>
        <v>0</v>
      </c>
      <c r="F31" s="81" t="s">
        <v>184</v>
      </c>
    </row>
    <row r="32" spans="1:8" ht="22">
      <c r="A32" s="92" t="s">
        <v>185</v>
      </c>
      <c r="B32" s="81" t="s">
        <v>186</v>
      </c>
      <c r="C32" s="105">
        <f>'محاسبه-ساده'!C37</f>
        <v>0</v>
      </c>
      <c r="E32" s="97">
        <f>IF(C32&lt;=0,0,C32*E13)</f>
        <v>0</v>
      </c>
      <c r="F32" s="81" t="s">
        <v>187</v>
      </c>
    </row>
    <row r="33" spans="1:6" ht="66">
      <c r="A33" s="92" t="s">
        <v>188</v>
      </c>
      <c r="B33" s="81" t="s">
        <v>189</v>
      </c>
      <c r="C33" s="92">
        <f>'محاسبه-ساده'!C38</f>
        <v>0</v>
      </c>
      <c r="E33" s="81"/>
      <c r="F33" s="81" t="s">
        <v>190</v>
      </c>
    </row>
    <row r="34" spans="1:6" ht="66">
      <c r="A34" s="106" t="s">
        <v>191</v>
      </c>
      <c r="B34" s="81" t="s">
        <v>192</v>
      </c>
      <c r="C34" s="92" t="str">
        <f>'محاسبه-ساده'!C39</f>
        <v>Testing/Commissioning period</v>
      </c>
      <c r="E34" s="92">
        <f>IF(C33&lt;=0,0,C33*IF(C34="Testing/Commissioning period",1,0.5))</f>
        <v>0</v>
      </c>
      <c r="F34" s="81" t="s">
        <v>193</v>
      </c>
    </row>
    <row r="35" spans="1:6" ht="22">
      <c r="A35" s="92" t="s">
        <v>194</v>
      </c>
      <c r="B35" s="81" t="s">
        <v>195</v>
      </c>
      <c r="E35" s="92">
        <f>E27+E28+E30+E31+E32+E34</f>
        <v>0</v>
      </c>
      <c r="F35" s="81" t="s">
        <v>196</v>
      </c>
    </row>
    <row r="36" spans="1:6">
      <c r="A36" s="107" t="s">
        <v>197</v>
      </c>
      <c r="B36" s="107"/>
      <c r="C36" s="107"/>
      <c r="D36" s="107"/>
      <c r="E36" s="107"/>
      <c r="F36" s="107"/>
    </row>
    <row r="37" spans="1:6">
      <c r="A37" s="103" t="s">
        <v>168</v>
      </c>
      <c r="B37" s="104" t="s">
        <v>2431</v>
      </c>
      <c r="C37" s="104"/>
      <c r="D37" s="104"/>
      <c r="E37" s="104"/>
      <c r="F37" s="104"/>
    </row>
    <row r="38" spans="1:6" ht="22">
      <c r="A38" s="92" t="s">
        <v>198</v>
      </c>
      <c r="B38" s="81" t="s">
        <v>2432</v>
      </c>
      <c r="C38" s="101">
        <f>'محاسبه-ساده'!C40</f>
        <v>0</v>
      </c>
      <c r="D38" s="108">
        <f>'محاسبه-ساده'!C41</f>
        <v>0</v>
      </c>
      <c r="E38" s="108">
        <f>ROUND(D38*C38/1000,0)</f>
        <v>0</v>
      </c>
      <c r="F38" s="81" t="s">
        <v>199</v>
      </c>
    </row>
    <row r="39" spans="1:6" ht="22">
      <c r="A39" s="92" t="s">
        <v>200</v>
      </c>
      <c r="B39" s="81" t="s">
        <v>2433</v>
      </c>
      <c r="C39" s="101">
        <f>'محاسبه-ساده'!C42</f>
        <v>0</v>
      </c>
      <c r="D39" s="108">
        <f>'محاسبه-ساده'!C43</f>
        <v>0</v>
      </c>
      <c r="E39" s="108">
        <f>ROUND(0.1*C39*D39/1000,0)</f>
        <v>0</v>
      </c>
      <c r="F39" s="81" t="s">
        <v>201</v>
      </c>
    </row>
    <row r="40" spans="1:6" ht="22">
      <c r="A40" s="92" t="s">
        <v>202</v>
      </c>
      <c r="B40" s="81" t="s">
        <v>2434</v>
      </c>
      <c r="C40" s="108">
        <f>'محاسبه-ساده'!C44</f>
        <v>0</v>
      </c>
      <c r="E40" s="102">
        <f>ROUND(1*C40/1000,0)</f>
        <v>0</v>
      </c>
      <c r="F40" s="81" t="s">
        <v>203</v>
      </c>
    </row>
    <row r="41" spans="1:6" ht="44">
      <c r="A41" s="106" t="s">
        <v>204</v>
      </c>
      <c r="B41" s="81" t="s">
        <v>2435</v>
      </c>
      <c r="C41" s="108">
        <f>'محاسبه-ساده'!C45</f>
        <v>0</v>
      </c>
      <c r="E41" s="108">
        <f>IF($C$41&gt;'Currency-Conversion'!$C$14,ROUND($E$13*$C$41/1000,0),0)</f>
        <v>0</v>
      </c>
      <c r="F41" s="81" t="s">
        <v>2436</v>
      </c>
    </row>
    <row r="42" spans="1:6" ht="22">
      <c r="A42" s="92" t="s">
        <v>205</v>
      </c>
      <c r="B42" s="81" t="s">
        <v>2437</v>
      </c>
      <c r="C42" s="109"/>
      <c r="E42" s="108">
        <f>E24+E38+E39+E40+E41</f>
        <v>0</v>
      </c>
      <c r="F42" s="81" t="s">
        <v>206</v>
      </c>
    </row>
    <row r="43" spans="1:6">
      <c r="A43" s="107" t="s">
        <v>207</v>
      </c>
      <c r="B43" s="107"/>
      <c r="C43" s="107"/>
      <c r="D43" s="107"/>
      <c r="E43" s="107"/>
      <c r="F43" s="107"/>
    </row>
    <row r="44" spans="1:9" ht="22">
      <c r="A44" s="92" t="s">
        <v>208</v>
      </c>
      <c r="B44" s="81" t="s">
        <v>209</v>
      </c>
      <c r="C44" s="101" t="str">
        <f>'محاسبه-ساده'!C30</f>
        <v>III (Heavy)</v>
      </c>
      <c r="F44" s="81" t="s">
        <v>210</v>
      </c>
      <c r="H44" s="81" t="s">
        <v>2455</v>
      </c>
      <c r="I44" s="92" t="str">
        <f>'محاسبه-ساده'!C22</f>
        <v>Yes</v>
      </c>
    </row>
    <row r="45" spans="1:6" ht="22">
      <c r="A45" s="92" t="s">
        <v>211</v>
      </c>
      <c r="B45" s="81" t="s">
        <v>212</v>
      </c>
      <c r="C45" s="92" t="str">
        <f>'محاسبه-ساده'!C31</f>
        <v>b — outer town (moderate density)</v>
      </c>
      <c r="E45" s="99"/>
      <c r="F45" s="81" t="s">
        <v>213</v>
      </c>
    </row>
    <row r="46" spans="1:6" ht="44">
      <c r="A46" s="92" t="s">
        <v>214</v>
      </c>
      <c r="B46" s="81" t="s">
        <v>2438</v>
      </c>
      <c r="C46" s="108">
        <f>'محاسبه-ساده'!C21</f>
        <v>6127758900000</v>
      </c>
      <c r="E46" s="99"/>
      <c r="F46" s="81" t="s">
        <v>2439</v>
      </c>
    </row>
    <row r="47" spans="1:6" ht="22">
      <c r="A47" s="92" t="s">
        <v>215</v>
      </c>
      <c r="B47" s="81" t="s">
        <v>216</v>
      </c>
      <c r="E47" s="92">
        <f>IFERROR(INDEX('Rate-TPL'!$C$4:$E$6,MATCH($C$44,{"I (Light)","II (Medium)","III (Heavy)"},0),MATCH($C$45,{"a — isolated site","b — outer town (moderate density)","c — central/urban"},0)),0)</f>
        <v>0.6</v>
      </c>
      <c r="F47" s="81" t="s">
        <v>217</v>
      </c>
    </row>
    <row r="48" spans="1:6" ht="22">
      <c r="A48" s="92" t="s">
        <v>218</v>
      </c>
      <c r="B48" s="81" t="s">
        <v>219</v>
      </c>
      <c r="C48" s="109">
        <v>0</v>
      </c>
      <c r="E48" s="92">
        <f>IFERROR(INDEX('Rate-TPL'!$B$9:$B$15,MATCH($C$46,'Currency-Conversion'!$C$18:$C$24,1)),1)</f>
        <v>1</v>
      </c>
      <c r="F48" s="81" t="s">
        <v>220</v>
      </c>
    </row>
    <row r="49" spans="1:6" ht="22">
      <c r="A49" s="92" t="s">
        <v>221</v>
      </c>
      <c r="B49" s="81" t="s">
        <v>222</v>
      </c>
      <c r="C49" s="75">
        <v>0.1</v>
      </c>
      <c r="E49" s="108">
        <f>E47*E48</f>
        <v>0.6</v>
      </c>
      <c r="F49" s="81" t="s">
        <v>223</v>
      </c>
    </row>
    <row r="50" spans="1:6" ht="22">
      <c r="A50" s="92" t="s">
        <v>224</v>
      </c>
      <c r="B50" s="81" t="s">
        <v>225</v>
      </c>
      <c r="C50" s="92" t="str">
        <f>'محاسبه-ساده'!C32</f>
        <v>Yes</v>
      </c>
      <c r="E50" s="110"/>
      <c r="F50" s="81" t="s">
        <v>226</v>
      </c>
    </row>
    <row r="51" spans="1:6" ht="22">
      <c r="A51" s="92" t="s">
        <v>227</v>
      </c>
      <c r="B51" s="81" t="s">
        <v>2440</v>
      </c>
      <c r="E51" s="102">
        <f>IF($I$44="No",0,IFERROR(ROUND($C$62*E49/1000,0),0))</f>
        <v>0</v>
      </c>
      <c r="F51" s="81" t="s">
        <v>2456</v>
      </c>
    </row>
    <row r="52" spans="1:6" ht="22">
      <c r="A52" s="106" t="s">
        <v>229</v>
      </c>
      <c r="B52" s="81" t="s">
        <v>2441</v>
      </c>
      <c r="E52" s="108">
        <f>IF($C$50="Yes",ROUND(0.35*E51,0),0)</f>
        <v>6434146845</v>
      </c>
      <c r="F52" s="81" t="s">
        <v>230</v>
      </c>
    </row>
    <row r="53" spans="1:6" ht="44">
      <c r="A53" s="89" t="s">
        <v>231</v>
      </c>
      <c r="B53" s="89" t="s">
        <v>2442</v>
      </c>
      <c r="C53" s="90"/>
      <c r="D53" s="90"/>
      <c r="E53" s="111">
        <f>E51+E52</f>
        <v>24817423545</v>
      </c>
      <c r="F53" s="89" t="s">
        <v>232</v>
      </c>
    </row>
    <row r="54" spans="1:6">
      <c r="A54" s="107" t="s">
        <v>233</v>
      </c>
      <c r="B54" s="107"/>
      <c r="C54" s="107"/>
      <c r="D54" s="107"/>
      <c r="E54" s="107"/>
      <c r="F54" s="107"/>
    </row>
    <row r="55" spans="1:6" ht="22">
      <c r="A55" s="92" t="s">
        <v>104</v>
      </c>
      <c r="B55" s="81" t="s">
        <v>234</v>
      </c>
      <c r="C55" s="109"/>
      <c r="D55" s="93" t="s">
        <v>235</v>
      </c>
      <c r="E55" s="92" t="s">
        <v>236</v>
      </c>
    </row>
    <row r="56" spans="1:6" ht="22">
      <c r="A56" s="92" t="s">
        <v>237</v>
      </c>
      <c r="B56" s="81" t="s">
        <v>238</v>
      </c>
      <c r="C56" s="109"/>
      <c r="D56" s="112">
        <f>E13</f>
        <v>3.65</v>
      </c>
      <c r="E56" s="92" t="s">
        <v>239</v>
      </c>
    </row>
    <row r="57" spans="1:6" ht="22">
      <c r="A57" s="92" t="s">
        <v>240</v>
      </c>
      <c r="B57" s="81" t="s">
        <v>241</v>
      </c>
      <c r="C57" s="92"/>
      <c r="D57" s="92">
        <f>E12</f>
        <v>0.45</v>
      </c>
      <c r="E57" s="92" t="s">
        <v>242</v>
      </c>
    </row>
    <row r="58" spans="1:6" ht="22">
      <c r="A58" s="106" t="s">
        <v>243</v>
      </c>
      <c r="B58" s="81" t="s">
        <v>244</v>
      </c>
      <c r="D58" s="92">
        <f>IF(AND($I$86="M",$C$90="No"),0,E21)</f>
        <v>0</v>
      </c>
      <c r="E58" s="92" t="s">
        <v>245</v>
      </c>
    </row>
    <row r="59" spans="1:6" ht="44">
      <c r="A59" s="89" t="s">
        <v>246</v>
      </c>
      <c r="B59" s="89" t="s">
        <v>247</v>
      </c>
      <c r="C59" s="90"/>
      <c r="D59" s="89">
        <f>E35</f>
        <v>0</v>
      </c>
      <c r="E59" s="89" t="s">
        <v>248</v>
      </c>
      <c r="F59" s="90"/>
    </row>
    <row r="60" spans="1:6" ht="88">
      <c r="A60" s="92" t="s">
        <v>249</v>
      </c>
      <c r="B60" s="81" t="s">
        <v>250</v>
      </c>
      <c r="D60" s="97">
        <f>D56+D57+D58+D59</f>
        <v>4.0999999999999996</v>
      </c>
      <c r="E60" s="81" t="s">
        <v>251</v>
      </c>
    </row>
    <row r="61" spans="1:6">
      <c r="A61" s="107" t="s">
        <v>252</v>
      </c>
      <c r="B61" s="107"/>
      <c r="C61" s="107"/>
      <c r="D61" s="107"/>
      <c r="E61" s="107"/>
      <c r="F61" s="107"/>
    </row>
    <row r="62" spans="1:6" ht="22">
      <c r="A62" s="92" t="s">
        <v>253</v>
      </c>
      <c r="B62" s="81" t="s">
        <v>2443</v>
      </c>
      <c r="C62" s="108">
        <f>'محاسبه-ساده'!C20</f>
        <v>30638794500000</v>
      </c>
      <c r="D62" s="113"/>
      <c r="E62" s="114"/>
      <c r="F62" s="81" t="s">
        <v>254</v>
      </c>
    </row>
    <row r="63" spans="1:6" ht="22">
      <c r="A63" s="92" t="s">
        <v>255</v>
      </c>
      <c r="B63" s="81" t="s">
        <v>256</v>
      </c>
      <c r="C63" s="92">
        <f>'محاسبه-ساده'!C51</f>
        <v>0</v>
      </c>
      <c r="D63" s="113"/>
      <c r="E63" s="114"/>
      <c r="F63" s="81" t="s">
        <v>257</v>
      </c>
    </row>
    <row r="64" spans="1:6" ht="22">
      <c r="A64" s="92" t="s">
        <v>258</v>
      </c>
      <c r="B64" s="81" t="s">
        <v>259</v>
      </c>
      <c r="D64" s="81"/>
      <c r="E64" s="102">
        <f>ROUND(D60*(1+C63),4)</f>
        <v>4.0999999999999996</v>
      </c>
      <c r="F64" s="81" t="s">
        <v>260</v>
      </c>
    </row>
    <row r="65" spans="1:6" ht="22">
      <c r="A65" s="106" t="s">
        <v>261</v>
      </c>
      <c r="B65" s="81" t="s">
        <v>2444</v>
      </c>
      <c r="E65" s="108">
        <f>IFERROR(INDEX('Rate-SubGroup'!$K$2:$K$152,MATCH($C$5,'Rate-SubGroup'!$A$2:$A$152,0)),'Currency-Conversion'!$C$15)</f>
        <v>3063879449.9999995</v>
      </c>
      <c r="F65" s="81" t="s">
        <v>2457</v>
      </c>
    </row>
    <row r="66" spans="1:6" ht="22">
      <c r="A66" s="92" t="s">
        <v>263</v>
      </c>
      <c r="B66" s="81" t="s">
        <v>2445</v>
      </c>
      <c r="C66" s="115"/>
      <c r="E66" s="108">
        <f>ROUND(C62*E64/1000,0)</f>
        <v>0</v>
      </c>
      <c r="F66" s="81" t="s">
        <v>2458</v>
      </c>
    </row>
    <row r="67" spans="1:6" ht="22">
      <c r="A67" s="92" t="s">
        <v>265</v>
      </c>
      <c r="B67" s="81" t="s">
        <v>2446</v>
      </c>
      <c r="C67" s="116"/>
      <c r="E67" s="108">
        <f>E42</f>
        <v>0</v>
      </c>
      <c r="F67" s="81" t="s">
        <v>266</v>
      </c>
    </row>
    <row r="68" spans="1:6" ht="22">
      <c r="A68" s="92" t="s">
        <v>267</v>
      </c>
      <c r="B68" s="81" t="s">
        <v>2442</v>
      </c>
      <c r="E68" s="108">
        <f>E53</f>
        <v>24817423545</v>
      </c>
      <c r="F68" s="81" t="s">
        <v>268</v>
      </c>
    </row>
    <row r="69" spans="1:6" ht="22">
      <c r="A69" s="92" t="s">
        <v>269</v>
      </c>
      <c r="B69" s="81" t="s">
        <v>2447</v>
      </c>
      <c r="E69" s="108">
        <f>E66+E67+E68</f>
        <v>150436480995</v>
      </c>
      <c r="F69" s="81" t="s">
        <v>270</v>
      </c>
    </row>
    <row r="70" spans="1:6" ht="22">
      <c r="A70" s="92" t="s">
        <v>271</v>
      </c>
      <c r="B70" s="81" t="s">
        <v>272</v>
      </c>
      <c r="C70" s="92">
        <f>'محاسبه-ساده'!C52</f>
        <v>0</v>
      </c>
      <c r="E70" s="110"/>
      <c r="F70" s="81" t="s">
        <v>273</v>
      </c>
    </row>
    <row r="71" spans="1:6" ht="22">
      <c r="A71" s="92" t="s">
        <v>274</v>
      </c>
      <c r="B71" s="81" t="s">
        <v>2448</v>
      </c>
      <c r="E71" s="108">
        <f>ROUND(E69*(1-C70),0)</f>
        <v>150436480995</v>
      </c>
      <c r="F71" s="81" t="s">
        <v>275</v>
      </c>
    </row>
    <row r="72" spans="1:6" ht="22">
      <c r="A72" s="92" t="s">
        <v>276</v>
      </c>
      <c r="B72" s="81" t="s">
        <v>277</v>
      </c>
      <c r="C72" s="92">
        <f>'محاسبه-ساده'!C53</f>
        <v>0.1</v>
      </c>
      <c r="E72" s="110"/>
      <c r="F72" s="81" t="s">
        <v>278</v>
      </c>
    </row>
    <row r="73" spans="1:6" ht="22">
      <c r="A73" s="92" t="s">
        <v>279</v>
      </c>
      <c r="B73" s="81" t="s">
        <v>2449</v>
      </c>
      <c r="E73" s="117">
        <f>ROUND(E69*(1+C72),0)</f>
        <v>165480129095</v>
      </c>
      <c r="F73" s="81" t="s">
        <v>280</v>
      </c>
    </row>
    <row r="74" spans="1:6">
      <c r="A74" s="107" t="s">
        <v>281</v>
      </c>
      <c r="B74" s="107"/>
      <c r="C74" s="107"/>
      <c r="D74" s="107"/>
      <c r="E74" s="107"/>
      <c r="F74" s="107"/>
    </row>
    <row r="75" spans="1:6" ht="22">
      <c r="A75" s="92" t="s">
        <v>282</v>
      </c>
      <c r="B75" s="81" t="s">
        <v>283</v>
      </c>
      <c r="E75" s="108" t="str">
        <f>IF(AND(ISNUMBER(E10),ISNUMBER(E11),E11&gt;0),"✓ rate found","⚠ check sub-group C5")</f>
        <v>✓ rate found</v>
      </c>
      <c r="F75" s="114"/>
    </row>
    <row r="76" spans="1:6" ht="22">
      <c r="A76" s="92" t="s">
        <v>284</v>
      </c>
      <c r="B76" s="81" t="s">
        <v>285</v>
      </c>
      <c r="C76" s="118"/>
      <c r="E76" s="92" t="str">
        <f>IF($I$86="M","✓ OK (blue table — basic rate is the minimum)",IF(E13&gt;=E11,"✓ OK","⚠ below floor"))</f>
        <v>✓ OK</v>
      </c>
      <c r="F76" s="114"/>
    </row>
    <row r="77" spans="1:6" ht="22">
      <c r="A77" s="92" t="s">
        <v>286</v>
      </c>
      <c r="B77" s="81" t="s">
        <v>287</v>
      </c>
      <c r="E77" s="102" t="str">
        <f>IF(AND(C6&gt;=1,C6&lt;=120),"✓ OK","⚠ duration 1-120")</f>
        <v>✓ OK</v>
      </c>
      <c r="F77" s="81"/>
    </row>
    <row r="78" spans="1:6" ht="22">
      <c r="A78" s="106" t="s">
        <v>288</v>
      </c>
      <c r="B78" s="81" t="s">
        <v>289</v>
      </c>
      <c r="E78" s="92" t="str">
        <f>IF(OR(C20&lt;&gt;"Yes",E21=0),"✓ OK","⚠ EQ loading not zeroed")</f>
        <v>✓ OK</v>
      </c>
    </row>
    <row r="79" spans="1:6" ht="22">
      <c r="A79" s="92" t="s">
        <v>290</v>
      </c>
      <c r="B79" s="81" t="s">
        <v>291</v>
      </c>
      <c r="E79" s="92" t="str">
        <f>IF($I$44="No","✓ OK (TPL excluded)",IF(AND(ISNUMBER(E47),E47&gt;0),"✓ OK","⚠ check TPL category/surroundings"))</f>
        <v>✓ OK</v>
      </c>
    </row>
    <row r="80" spans="1:6" ht="22">
      <c r="A80" s="92" t="s">
        <v>292</v>
      </c>
      <c r="B80" s="81" t="s">
        <v>293</v>
      </c>
      <c r="E80" s="92" t="str">
        <f>IF(C62&gt;0,"✓ OK","⚠ enter Sum Insured P1")</f>
        <v>✓ OK</v>
      </c>
    </row>
    <row r="81" spans="1:5">
      <c r="A81" s="103"/>
      <c r="B81" s="119"/>
      <c r="E81" s="120"/>
    </row>
    <row r="82" spans="1:5">
      <c r="A82" s="103"/>
      <c r="B82" s="119"/>
      <c r="E82" s="120"/>
    </row>
    <row r="83" spans="1:5">
      <c r="A83" s="103"/>
      <c r="B83" s="119"/>
      <c r="E83" s="120"/>
    </row>
    <row r="84" spans="1:5">
      <c r="A84" s="103"/>
      <c r="B84" s="119"/>
      <c r="E84" s="120"/>
    </row>
    <row r="84" spans="1:9"/>
    <row r="85" spans="1:9" ht="22">
      <c r="A85" s="92" t="s">
        <v>2588</v>
      </c>
    </row>
    <row r="86" spans="1:9" ht="22">
      <c r="A86" s="92" t="s">
        <v>2589</v>
      </c>
      <c r="B86" s="81" t="s">
        <v>2596</v>
      </c>
      <c r="C86" s="101" t="str">
        <f>'محاسبه-ساده'!C9</f>
        <v>کل پروژه (Entire Project)</v>
      </c>
      <c r="F86" s="81" t="s">
        <v>2606</v>
      </c>
      <c r="H86" s="81" t="s">
        <v>2603</v>
      </c>
      <c r="I86" s="92" t="str">
        <f>IF(ISNUMBER(SEARCH("Individual Machines",$C$86)),"M","P")</f>
        <v>P</v>
      </c>
    </row>
    <row r="87" spans="1:9" ht="22">
      <c r="A87" s="92" t="s">
        <v>2590</v>
      </c>
      <c r="B87" s="81" t="s">
        <v>2597</v>
      </c>
      <c r="C87" s="101" t="str">
        <f>'محاسبه-ساده'!C12</f>
        <v/>
      </c>
    </row>
    <row r="88" spans="1:9" ht="22">
      <c r="A88" s="92" t="s">
        <v>2591</v>
      </c>
      <c r="B88" s="81" t="s">
        <v>2598</v>
      </c>
      <c r="C88" s="101">
        <f>'محاسبه-ساده'!C14</f>
        <v>3</v>
      </c>
    </row>
    <row r="89" spans="1:9" ht="22">
      <c r="A89" s="92" t="s">
        <v>2592</v>
      </c>
      <c r="B89" s="81" t="s">
        <v>2599</v>
      </c>
      <c r="C89" s="101">
        <f>'محاسبه-ساده'!C15</f>
        <v>1</v>
      </c>
    </row>
    <row r="90" spans="1:9" ht="22">
      <c r="A90" s="92" t="s">
        <v>2593</v>
      </c>
      <c r="B90" s="81" t="s">
        <v>2600</v>
      </c>
      <c r="C90" s="101" t="str">
        <f>'محاسبه-ساده'!C56</f>
        <v>No</v>
      </c>
    </row>
    <row r="91" spans="1:9" ht="22">
      <c r="A91" s="92" t="s">
        <v>2594</v>
      </c>
      <c r="B91" s="81" t="s">
        <v>2601</v>
      </c>
      <c r="E91" s="97">
        <f>IF($I$86&lt;&gt;"M",0,IFERROR(INDEX('Rate-IndividualMachines'!$L$2:$L$109,MATCH($C$87,'Rate-IndividualMachines'!$K$2:$K$109,0))+MAX(0,MIN($C$88,9)-3)*INDEX('Rate-IndividualMachines'!$M$2:$M$109,MATCH($C$87,'Rate-IndividualMachines'!$K$2:$K$109,0))+MAX(0,MIN($C$89,3)-1)*INDEX('Rate-IndividualMachines'!$N$2:$N$109,MATCH($C$87,'Rate-IndividualMachines'!$K$2:$K$109,0)),0))</f>
        <v>0</v>
      </c>
      <c r="F91" s="81" t="s">
        <v>2604</v>
      </c>
    </row>
    <row r="92" spans="1:9" ht="22">
      <c r="A92" s="92" t="s">
        <v>2595</v>
      </c>
      <c r="B92" s="81" t="s">
        <v>2602</v>
      </c>
      <c r="E92" s="97">
        <f>IF($I$86&lt;&gt;"M",0,IFERROR(INDEX('Rate-IndividualMachines'!$O$2:$O$109,MATCH($C$87,'Rate-IndividualMachines'!$K$2:$K$109,0)),0))</f>
        <v>0</v>
      </c>
      <c r="F92" s="81" t="s">
        <v>2605</v>
      </c>
    </row>
    <row r="93" spans="1:9" ht="22">
      <c r="A93" s="92" t="s">
        <v>2607</v>
      </c>
      <c r="B93" s="81" t="s">
        <v>2608</v>
      </c>
      <c r="E93" s="92" t="str">
        <f>IF($I$86&lt;&gt;"M","✓ n/a",IF(AND($C$88&gt;=0,$C$88&lt;=9,$C$89&gt;=0,$C$89&lt;=3),"✓ OK","⚠ machine period exceeds Swiss Re caps (erect ≤9, test ≤3)"))</f>
        <v>✓ n/a</v>
      </c>
    </row>
  </sheetData>
  <mergeCells count="13">
    <mergeCell ref="A54:F54"/>
    <mergeCell ref="A61:F61"/>
    <mergeCell ref="A74:F74"/>
    <mergeCell ref="A25:F25"/>
    <mergeCell ref="B26:F26"/>
    <mergeCell ref="A36:F36"/>
    <mergeCell ref="B37:F37"/>
    <mergeCell ref="A43:F43"/>
    <mergeCell ref="A1:F1"/>
    <mergeCell ref="A3:F3"/>
    <mergeCell ref="A9:F9"/>
    <mergeCell ref="A15:F15"/>
    <mergeCell ref="A22:F22"/>
  </mergeCells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P153"/>
  <sheetViews>
    <sheetView zoomScaleNormal="100" workbookViewId="0">
      <selection activeCell="A32" sqref="A32"/>
    </sheetView>
  </sheetViews>
  <sheetFormatPr baseColWidth="10" defaultColWidth="112.6640625" defaultRowHeight="14"/>
  <cols>
    <col min="1" max="1" width="112.83203125" style="4" customWidth="1"/>
    <col min="2" max="5" width="6.1640625" style="4" customWidth="1"/>
    <col min="6" max="6" width="7.5" style="4" customWidth="1"/>
    <col min="7" max="7" width="8.5" style="4" customWidth="1"/>
    <col min="8" max="8" width="4.33203125" customWidth="1"/>
    <col min="9" max="9" width="10.6640625" customWidth="1"/>
    <col min="10" max="10" width="15.1640625" customWidth="1"/>
    <col min="11" max="11" width="16" customWidth="1"/>
    <col min="12" max="12" width="20" customWidth="1"/>
    <col min="14" max="14" width="18.83203125" customWidth="1"/>
  </cols>
  <sheetData>
    <row r="1" spans="1:16" ht="39" customHeight="1">
      <c r="A1" s="5" t="s">
        <v>114</v>
      </c>
      <c r="B1" s="6" t="s">
        <v>294</v>
      </c>
      <c r="C1" s="6" t="s">
        <v>295</v>
      </c>
      <c r="D1" s="6" t="s">
        <v>296</v>
      </c>
      <c r="E1" s="6" t="s">
        <v>297</v>
      </c>
      <c r="F1" s="7" t="s">
        <v>298</v>
      </c>
      <c r="G1" s="7" t="s">
        <v>299</v>
      </c>
      <c r="H1" s="8" t="s">
        <v>300</v>
      </c>
      <c r="I1" s="9" t="s">
        <v>301</v>
      </c>
      <c r="J1" s="10" t="s">
        <v>302</v>
      </c>
      <c r="K1" s="11" t="s">
        <v>303</v>
      </c>
      <c r="L1" s="11" t="s">
        <v>304</v>
      </c>
      <c r="N1" s="12" t="s">
        <v>305</v>
      </c>
      <c r="O1" s="12"/>
      <c r="P1" s="12"/>
    </row>
    <row r="2" spans="1:16" ht="25.5" customHeight="1">
      <c r="A2" s="13" t="s">
        <v>306</v>
      </c>
      <c r="B2" s="2">
        <v>1.55</v>
      </c>
      <c r="C2" s="2">
        <v>0.1</v>
      </c>
      <c r="D2" s="2">
        <v>7.4999999999999997E-2</v>
      </c>
      <c r="E2" s="2">
        <v>0.05</v>
      </c>
      <c r="F2" s="2">
        <v>0.45</v>
      </c>
      <c r="G2" s="2">
        <v>3</v>
      </c>
      <c r="H2" s="14">
        <v>3.55</v>
      </c>
      <c r="I2" s="15">
        <v>5000</v>
      </c>
      <c r="J2" s="16" t="s">
        <v>307</v>
      </c>
      <c r="K2" s="3">
        <f>I2*'Currency-Conversion'!$C$10</f>
        <v>15319397249.999998</v>
      </c>
      <c r="L2" s="3" t="str">
        <f>J2&amp;" — تبدیل خودکار به ریال ممکن نشد (نرخ به‌ازای واحد ظرفیت است، نه عدد ساده). برای تبدیل دستی، اعداد را در ضریب "&amp;TEXT('Currency-Conversion'!$C$10,"#,##0")&amp;" ضرب کنید."</f>
        <v>150/MW (min 10,000) — تبدیل خودکار به ریال ممکن نشد (نرخ به‌ازای واحد ظرفیت است، نه عدد ساده). برای تبدیل دستی، اعداد را در ضریب 3,063,879 ضرب کنید.</v>
      </c>
      <c r="N2" s="17" t="s">
        <v>308</v>
      </c>
      <c r="O2" s="17"/>
      <c r="P2" s="18"/>
    </row>
    <row r="3" spans="1:16" ht="13.5" customHeight="1">
      <c r="A3" s="13" t="s">
        <v>309</v>
      </c>
      <c r="B3" s="2">
        <v>1.6</v>
      </c>
      <c r="C3" s="2">
        <v>0.1</v>
      </c>
      <c r="D3" s="2">
        <v>7.4999999999999997E-2</v>
      </c>
      <c r="E3" s="2">
        <v>0.05</v>
      </c>
      <c r="F3" s="2">
        <v>0.45</v>
      </c>
      <c r="G3" s="2">
        <v>3.5</v>
      </c>
      <c r="H3" s="14">
        <v>3.75</v>
      </c>
      <c r="I3" s="15">
        <v>5000</v>
      </c>
      <c r="J3" s="16" t="s">
        <v>310</v>
      </c>
      <c r="K3" s="3">
        <f>I3*'Currency-Conversion'!$C$10</f>
        <v>15319397249.999998</v>
      </c>
      <c r="L3" s="3" t="str">
        <f>J3&amp;" — تبدیل خودکار به ریال ممکن نشد (نرخ به‌ازای واحد ظرفیت است، نه عدد ساده). برای تبدیل دستی، اعداد را در ضریب "&amp;TEXT('Currency-Conversion'!$C$10,"#,##0")&amp;" ضرب کنید."</f>
        <v>150/MW — تبدیل خودکار به ریال ممکن نشد (نرخ به‌ازای واحد ظرفیت است، نه عدد ساده). برای تبدیل دستی، اعداد را در ضریب 3,063,879 ضرب کنید.</v>
      </c>
      <c r="N3" s="17" t="s">
        <v>311</v>
      </c>
      <c r="O3" s="17"/>
      <c r="P3" s="18"/>
    </row>
    <row r="4" spans="1:16" ht="13.5" customHeight="1">
      <c r="A4" s="13" t="s">
        <v>312</v>
      </c>
      <c r="B4" s="2">
        <v>1.65</v>
      </c>
      <c r="C4" s="2">
        <v>0.1</v>
      </c>
      <c r="D4" s="2">
        <v>0.05</v>
      </c>
      <c r="E4" s="2">
        <v>2.5000000000000001E-2</v>
      </c>
      <c r="F4" s="2">
        <v>1</v>
      </c>
      <c r="G4" s="2">
        <v>10</v>
      </c>
      <c r="H4" s="14">
        <v>4.4000000000000004</v>
      </c>
      <c r="I4" s="15">
        <v>5000</v>
      </c>
      <c r="J4" s="16">
        <v>25000</v>
      </c>
      <c r="K4" s="3">
        <f>I4*'Currency-Conversion'!$C$10</f>
        <v>15319397249.999998</v>
      </c>
      <c r="L4" s="3">
        <f>J4*'Currency-Conversion'!$C$10</f>
        <v>76596986250</v>
      </c>
      <c r="N4" s="17" t="s">
        <v>313</v>
      </c>
      <c r="O4" s="17"/>
      <c r="P4" s="18"/>
    </row>
    <row r="5" spans="1:16" ht="25.5" customHeight="1">
      <c r="A5" s="13" t="s">
        <v>314</v>
      </c>
      <c r="B5" s="2">
        <v>1.75</v>
      </c>
      <c r="C5" s="2">
        <v>0.1</v>
      </c>
      <c r="D5" s="2">
        <v>0.05</v>
      </c>
      <c r="E5" s="2">
        <v>2.5000000000000001E-2</v>
      </c>
      <c r="F5" s="2">
        <v>1.1000000000000001</v>
      </c>
      <c r="G5" s="2">
        <v>10</v>
      </c>
      <c r="H5" s="14">
        <v>4.75</v>
      </c>
      <c r="I5" s="15">
        <v>5000</v>
      </c>
      <c r="J5" s="16" t="s">
        <v>315</v>
      </c>
      <c r="K5" s="3">
        <f>I5*'Currency-Conversion'!$C$10</f>
        <v>15319397249.999998</v>
      </c>
      <c r="L5" s="3" t="str">
        <f>J5&amp;" — تبدیل خودکار به ریال ممکن نشد (نرخ به‌ازای واحد ظرفیت است، نه عدد ساده). برای تبدیل دستی، اعداد را در ضریب "&amp;TEXT('Currency-Conversion'!$C$10,"#,##0")&amp;" ضرب کنید."</f>
        <v>250/MW (min 25,000) — تبدیل خودکار به ریال ممکن نشد (نرخ به‌ازای واحد ظرفیت است، نه عدد ساده). برای تبدیل دستی، اعداد را در ضریب 3,063,879 ضرب کنید.</v>
      </c>
      <c r="N5" s="17" t="s">
        <v>316</v>
      </c>
      <c r="O5" s="17"/>
      <c r="P5" s="18"/>
    </row>
    <row r="6" spans="1:16" ht="13.5" customHeight="1">
      <c r="A6" s="13" t="s">
        <v>317</v>
      </c>
      <c r="B6" s="2">
        <v>1.75</v>
      </c>
      <c r="C6" s="2">
        <v>0.1</v>
      </c>
      <c r="D6" s="2">
        <v>0.05</v>
      </c>
      <c r="E6" s="2">
        <v>2.5000000000000001E-2</v>
      </c>
      <c r="F6" s="2">
        <v>1.3</v>
      </c>
      <c r="G6" s="2">
        <v>12</v>
      </c>
      <c r="H6" s="14">
        <v>4.95</v>
      </c>
      <c r="I6" s="15">
        <v>5000</v>
      </c>
      <c r="J6" s="16" t="s">
        <v>318</v>
      </c>
      <c r="K6" s="3">
        <f>I6*'Currency-Conversion'!$C$10</f>
        <v>15319397249.999998</v>
      </c>
      <c r="L6" s="3" t="str">
        <f>J6&amp;" — تبدیل خودکار به ریال ممکن نشد (نرخ به‌ازای واحد ظرفیت است، نه عدد ساده). برای تبدیل دستی، اعداد را در ضریب "&amp;TEXT('Currency-Conversion'!$C$10,"#,##0")&amp;" ضرب کنید."</f>
        <v>250/MW — تبدیل خودکار به ریال ممکن نشد (نرخ به‌ازای واحد ظرفیت است، نه عدد ساده). برای تبدیل دستی، اعداد را در ضریب 3,063,879 ضرب کنید.</v>
      </c>
      <c r="N6" s="17" t="s">
        <v>5</v>
      </c>
      <c r="O6" s="17"/>
      <c r="P6" s="18"/>
    </row>
    <row r="7" spans="1:16" ht="13.5" customHeight="1">
      <c r="A7" s="13" t="s">
        <v>319</v>
      </c>
      <c r="B7" s="2">
        <v>1.75</v>
      </c>
      <c r="C7" s="2">
        <v>0.1</v>
      </c>
      <c r="D7" s="2">
        <v>0.05</v>
      </c>
      <c r="E7" s="2">
        <v>2.5000000000000001E-2</v>
      </c>
      <c r="F7" s="2">
        <v>1.55</v>
      </c>
      <c r="G7" s="2">
        <v>14</v>
      </c>
      <c r="H7" s="14">
        <v>5.4</v>
      </c>
      <c r="I7" s="15">
        <v>7500</v>
      </c>
      <c r="J7" s="16" t="s">
        <v>318</v>
      </c>
      <c r="K7" s="3">
        <f>I7*'Currency-Conversion'!$C$10</f>
        <v>22979095874.999996</v>
      </c>
      <c r="L7" s="3" t="str">
        <f>J7&amp;" — تبدیل خودکار به ریال ممکن نشد (نرخ به‌ازای واحد ظرفیت است، نه عدد ساده). برای تبدیل دستی، اعداد را در ضریب "&amp;TEXT('Currency-Conversion'!$C$10,"#,##0")&amp;" ضرب کنید."</f>
        <v>250/MW — تبدیل خودکار به ریال ممکن نشد (نرخ به‌ازای واحد ظرفیت است، نه عدد ساده). برای تبدیل دستی، اعداد را در ضریب 3,063,879 ضرب کنید.</v>
      </c>
      <c r="N7" s="17" t="s">
        <v>320</v>
      </c>
      <c r="O7" s="17"/>
      <c r="P7" s="18"/>
    </row>
    <row r="8" spans="1:16" ht="13.5" customHeight="1">
      <c r="A8" s="13" t="s">
        <v>321</v>
      </c>
      <c r="B8" s="2">
        <v>1.55</v>
      </c>
      <c r="C8" s="2">
        <v>0.05</v>
      </c>
      <c r="D8" s="2">
        <v>0.05</v>
      </c>
      <c r="E8" s="2">
        <v>2.5000000000000001E-2</v>
      </c>
      <c r="F8" s="2">
        <v>0.55000000000000004</v>
      </c>
      <c r="G8" s="2">
        <v>3</v>
      </c>
      <c r="H8" s="14">
        <v>3.1</v>
      </c>
      <c r="I8" s="15">
        <v>2500</v>
      </c>
      <c r="J8" s="16">
        <v>5000</v>
      </c>
      <c r="K8" s="3">
        <f>I8*'Currency-Conversion'!$C$10</f>
        <v>7659698624.999999</v>
      </c>
      <c r="L8" s="3">
        <f>J8*'Currency-Conversion'!$C$10</f>
        <v>15319397249.999998</v>
      </c>
      <c r="N8" s="17" t="s">
        <v>322</v>
      </c>
      <c r="O8" s="17"/>
      <c r="P8" s="18"/>
    </row>
    <row r="9" spans="1:16" ht="13.5" customHeight="1">
      <c r="A9" s="13" t="s">
        <v>323</v>
      </c>
      <c r="B9" s="2">
        <v>1.55</v>
      </c>
      <c r="C9" s="2">
        <v>7.4999999999999997E-2</v>
      </c>
      <c r="D9" s="2">
        <v>7.4999999999999997E-2</v>
      </c>
      <c r="E9" s="2">
        <v>0.05</v>
      </c>
      <c r="F9" s="2">
        <v>0.65</v>
      </c>
      <c r="G9" s="2">
        <v>3.5</v>
      </c>
      <c r="H9" s="14">
        <v>3.3</v>
      </c>
      <c r="I9" s="15">
        <v>2500</v>
      </c>
      <c r="J9" s="16">
        <v>5000</v>
      </c>
      <c r="K9" s="3">
        <f>I9*'Currency-Conversion'!$C$10</f>
        <v>7659698624.999999</v>
      </c>
      <c r="L9" s="3">
        <f>J9*'Currency-Conversion'!$C$10</f>
        <v>15319397249.999998</v>
      </c>
      <c r="N9" s="17" t="s">
        <v>324</v>
      </c>
      <c r="O9" s="17"/>
      <c r="P9" s="18"/>
    </row>
    <row r="10" spans="1:16" ht="13.5" customHeight="1">
      <c r="A10" s="13" t="s">
        <v>325</v>
      </c>
      <c r="B10" s="2">
        <v>1.55</v>
      </c>
      <c r="C10" s="2">
        <v>0.05</v>
      </c>
      <c r="D10" s="2">
        <v>7.4999999999999997E-2</v>
      </c>
      <c r="E10" s="2">
        <v>2.5000000000000001E-2</v>
      </c>
      <c r="F10" s="2">
        <v>0.55000000000000004</v>
      </c>
      <c r="G10" s="2">
        <v>2</v>
      </c>
      <c r="H10" s="14">
        <v>3.1</v>
      </c>
      <c r="I10" s="15">
        <v>2500</v>
      </c>
      <c r="J10" s="16">
        <v>5000</v>
      </c>
      <c r="K10" s="3">
        <f>I10*'Currency-Conversion'!$C$10</f>
        <v>7659698624.999999</v>
      </c>
      <c r="L10" s="3">
        <f>J10*'Currency-Conversion'!$C$10</f>
        <v>15319397249.999998</v>
      </c>
      <c r="N10" s="17" t="s">
        <v>326</v>
      </c>
      <c r="O10" s="17"/>
      <c r="P10" s="18"/>
    </row>
    <row r="11" spans="1:16" ht="13.5" customHeight="1">
      <c r="A11" s="13" t="s">
        <v>327</v>
      </c>
      <c r="B11" s="2">
        <v>1.65</v>
      </c>
      <c r="C11" s="2">
        <v>0.15</v>
      </c>
      <c r="D11" s="2">
        <v>7.4999999999999997E-2</v>
      </c>
      <c r="E11" s="2">
        <v>0.05</v>
      </c>
      <c r="F11" s="2">
        <v>1.1000000000000001</v>
      </c>
      <c r="G11" s="2">
        <v>10</v>
      </c>
      <c r="H11" s="14">
        <v>4.2</v>
      </c>
      <c r="I11" s="15">
        <v>5000</v>
      </c>
      <c r="J11" s="16">
        <v>10000</v>
      </c>
      <c r="K11" s="3">
        <f>I11*'Currency-Conversion'!$C$10</f>
        <v>15319397249.999998</v>
      </c>
      <c r="L11" s="3">
        <f>J11*'Currency-Conversion'!$C$10</f>
        <v>30638794499.999996</v>
      </c>
      <c r="N11" s="17" t="s">
        <v>328</v>
      </c>
      <c r="O11" s="17"/>
      <c r="P11" s="18"/>
    </row>
    <row r="12" spans="1:16" ht="25.5" customHeight="1">
      <c r="A12" s="13" t="s">
        <v>329</v>
      </c>
      <c r="B12" s="2">
        <v>1.75</v>
      </c>
      <c r="C12" s="2">
        <v>0.15</v>
      </c>
      <c r="D12" s="2">
        <v>7.4999999999999997E-2</v>
      </c>
      <c r="E12" s="2">
        <v>7.4999999999999997E-2</v>
      </c>
      <c r="F12" s="2">
        <v>1.2</v>
      </c>
      <c r="G12" s="2">
        <v>10</v>
      </c>
      <c r="H12" s="14">
        <v>4.7</v>
      </c>
      <c r="I12" s="15">
        <v>5000</v>
      </c>
      <c r="J12" s="16" t="s">
        <v>330</v>
      </c>
      <c r="K12" s="3">
        <f>I12*'Currency-Conversion'!$C$10</f>
        <v>15319397249.999998</v>
      </c>
      <c r="L12" s="3" t="str">
        <f>J12&amp;" — تبدیل خودکار به ریال ممکن نشد (نرخ به‌ازای واحد ظرفیت است، نه عدد ساده). برای تبدیل دستی، اعداد را در ضریب "&amp;TEXT('Currency-Conversion'!$C$10,"#,##0")&amp;" ضرب کنید."</f>
        <v>750/MW (min 10,000) — تبدیل خودکار به ریال ممکن نشد (نرخ به‌ازای واحد ظرفیت است، نه عدد ساده). برای تبدیل دستی، اعداد را در ضریب 3,063,879 ضرب کنید.</v>
      </c>
      <c r="N12" s="17" t="s">
        <v>331</v>
      </c>
      <c r="O12" s="17"/>
      <c r="P12" s="18"/>
    </row>
    <row r="13" spans="1:16" ht="13.5" customHeight="1">
      <c r="A13" s="13" t="s">
        <v>332</v>
      </c>
      <c r="B13" s="2">
        <v>1.9</v>
      </c>
      <c r="C13" s="2">
        <v>0.15</v>
      </c>
      <c r="D13" s="2">
        <v>7.4999999999999997E-2</v>
      </c>
      <c r="E13" s="2">
        <v>7.4999999999999997E-2</v>
      </c>
      <c r="F13" s="2">
        <v>1.45</v>
      </c>
      <c r="G13" s="2">
        <v>12</v>
      </c>
      <c r="H13" s="14">
        <v>5.5</v>
      </c>
      <c r="I13" s="15">
        <v>5000</v>
      </c>
      <c r="J13" s="16" t="s">
        <v>333</v>
      </c>
      <c r="K13" s="3">
        <f>I13*'Currency-Conversion'!$C$10</f>
        <v>15319397249.999998</v>
      </c>
      <c r="L13" s="3" t="str">
        <f>J13&amp;" — تبدیل خودکار به ریال ممکن نشد (نرخ به‌ازای واحد ظرفیت است، نه عدد ساده). برای تبدیل دستی، اعداد را در ضریب "&amp;TEXT('Currency-Conversion'!$C$10,"#,##0")&amp;" ضرب کنید."</f>
        <v>750/MW — تبدیل خودکار به ریال ممکن نشد (نرخ به‌ازای واحد ظرفیت است، نه عدد ساده). برای تبدیل دستی، اعداد را در ضریب 3,063,879 ضرب کنید.</v>
      </c>
      <c r="N13" s="17" t="s">
        <v>334</v>
      </c>
      <c r="O13" s="17"/>
      <c r="P13" s="18"/>
    </row>
    <row r="14" spans="1:16" ht="13.5" customHeight="1">
      <c r="A14" s="13" t="s">
        <v>335</v>
      </c>
      <c r="B14" s="2">
        <v>1.55</v>
      </c>
      <c r="C14" s="2">
        <v>7.4999999999999997E-2</v>
      </c>
      <c r="D14" s="2">
        <v>7.4999999999999997E-2</v>
      </c>
      <c r="E14" s="2">
        <v>7.4999999999999997E-2</v>
      </c>
      <c r="F14" s="2">
        <v>0.65</v>
      </c>
      <c r="G14" s="2">
        <v>3</v>
      </c>
      <c r="H14" s="14">
        <v>3.3</v>
      </c>
      <c r="I14" s="15">
        <v>1000</v>
      </c>
      <c r="J14" s="16">
        <v>2000</v>
      </c>
      <c r="K14" s="3">
        <f>I14*'Currency-Conversion'!$C$10</f>
        <v>3063879449.9999995</v>
      </c>
      <c r="L14" s="3">
        <f>J14*'Currency-Conversion'!$C$10</f>
        <v>6127758899.999999</v>
      </c>
      <c r="N14" s="17" t="s">
        <v>336</v>
      </c>
      <c r="O14" s="17"/>
      <c r="P14" s="18"/>
    </row>
    <row r="15" spans="1:16" ht="13.5" customHeight="1">
      <c r="A15" s="13" t="s">
        <v>337</v>
      </c>
      <c r="B15" s="2">
        <v>1.55</v>
      </c>
      <c r="C15" s="2">
        <v>7.4999999999999997E-2</v>
      </c>
      <c r="D15" s="2">
        <v>7.4999999999999997E-2</v>
      </c>
      <c r="E15" s="2">
        <v>7.4999999999999997E-2</v>
      </c>
      <c r="F15" s="2">
        <v>0.55000000000000004</v>
      </c>
      <c r="G15" s="2">
        <v>2.5</v>
      </c>
      <c r="H15" s="14">
        <v>3.1</v>
      </c>
      <c r="I15" s="15">
        <v>1000</v>
      </c>
      <c r="J15" s="16">
        <v>2000</v>
      </c>
      <c r="K15" s="3">
        <f>I15*'Currency-Conversion'!$C$10</f>
        <v>3063879449.9999995</v>
      </c>
      <c r="L15" s="3">
        <f>J15*'Currency-Conversion'!$C$10</f>
        <v>6127758899.999999</v>
      </c>
      <c r="N15" s="17" t="s">
        <v>338</v>
      </c>
      <c r="O15" s="17"/>
      <c r="P15" s="18"/>
    </row>
    <row r="16" spans="1:16" ht="25.5" customHeight="1">
      <c r="A16" s="13" t="s">
        <v>339</v>
      </c>
      <c r="B16" s="2">
        <v>2.0499999999999998</v>
      </c>
      <c r="C16" s="2">
        <v>0.15</v>
      </c>
      <c r="D16" s="2">
        <v>0.1</v>
      </c>
      <c r="E16" s="2">
        <v>0.1</v>
      </c>
      <c r="F16" s="2">
        <v>1.1000000000000001</v>
      </c>
      <c r="G16" s="2">
        <v>12</v>
      </c>
      <c r="H16" s="14">
        <v>4.95</v>
      </c>
      <c r="I16" s="15">
        <v>2000</v>
      </c>
      <c r="J16" s="16" t="s">
        <v>340</v>
      </c>
      <c r="K16" s="3">
        <f>I16*'Currency-Conversion'!$C$10</f>
        <v>6127758899.999999</v>
      </c>
      <c r="L16" s="3" t="str">
        <f>J16&amp;" — تبدیل خودکار به ریال ممکن نشد (نرخ به‌ازای واحد ظرفیت است، نه عدد ساده). برای تبدیل دستی، اعداد را در ضریب "&amp;TEXT('Currency-Conversion'!$C$10,"#,##0")&amp;" ضرب کنید."</f>
        <v>1000/MW (min 5,000) — تبدیل خودکار به ریال ممکن نشد (نرخ به‌ازای واحد ظرفیت است، نه عدد ساده). برای تبدیل دستی، اعداد را در ضریب 3,063,879 ضرب کنید.</v>
      </c>
      <c r="N16" s="17" t="s">
        <v>341</v>
      </c>
      <c r="O16" s="17"/>
      <c r="P16" s="18"/>
    </row>
    <row r="17" spans="1:16" ht="13.5" customHeight="1">
      <c r="A17" s="13" t="s">
        <v>342</v>
      </c>
      <c r="B17" s="2">
        <v>1.75</v>
      </c>
      <c r="C17" s="2">
        <v>0.1</v>
      </c>
      <c r="D17" s="2">
        <v>0.1</v>
      </c>
      <c r="E17" s="2">
        <v>0.1</v>
      </c>
      <c r="F17" s="2">
        <v>0.9</v>
      </c>
      <c r="G17" s="2">
        <v>10</v>
      </c>
      <c r="H17" s="14">
        <v>4.2</v>
      </c>
      <c r="I17" s="15">
        <v>2000</v>
      </c>
      <c r="J17" s="16" t="s">
        <v>343</v>
      </c>
      <c r="K17" s="3">
        <f>I17*'Currency-Conversion'!$C$10</f>
        <v>6127758899.999999</v>
      </c>
      <c r="L17" s="3" t="str">
        <f>J17&amp;" — تبدیل خودکار به ریال ممکن نشد (نرخ به‌ازای واحد ظرفیت است، نه عدد ساده). برای تبدیل دستی، اعداد را در ضریب "&amp;TEXT('Currency-Conversion'!$C$10,"#,##0")&amp;" ضرب کنید."</f>
        <v>1000/MW — تبدیل خودکار به ریال ممکن نشد (نرخ به‌ازای واحد ظرفیت است، نه عدد ساده). برای تبدیل دستی، اعداد را در ضریب 3,063,879 ضرب کنید.</v>
      </c>
      <c r="N17" s="17" t="s">
        <v>344</v>
      </c>
      <c r="O17" s="17"/>
      <c r="P17" s="18"/>
    </row>
    <row r="18" spans="1:16" ht="13.5" customHeight="1">
      <c r="A18" s="13" t="s">
        <v>345</v>
      </c>
      <c r="B18" s="2">
        <v>1.65</v>
      </c>
      <c r="C18" s="2">
        <v>0.1</v>
      </c>
      <c r="D18" s="2">
        <v>7.4999999999999997E-2</v>
      </c>
      <c r="E18" s="2">
        <v>7.4999999999999997E-2</v>
      </c>
      <c r="F18" s="2">
        <v>0.65</v>
      </c>
      <c r="G18" s="2">
        <v>3</v>
      </c>
      <c r="H18" s="14">
        <v>3.4</v>
      </c>
      <c r="I18" s="15">
        <v>1000</v>
      </c>
      <c r="J18" s="16">
        <v>2000</v>
      </c>
      <c r="K18" s="3">
        <f>I18*'Currency-Conversion'!$C$10</f>
        <v>3063879449.9999995</v>
      </c>
      <c r="L18" s="3">
        <f>J18*'Currency-Conversion'!$C$10</f>
        <v>6127758899.999999</v>
      </c>
      <c r="N18" s="17" t="s">
        <v>346</v>
      </c>
      <c r="O18" s="17"/>
      <c r="P18" s="18"/>
    </row>
    <row r="19" spans="1:16" ht="13.5" customHeight="1">
      <c r="A19" s="13" t="s">
        <v>347</v>
      </c>
      <c r="B19" s="2">
        <v>1.5</v>
      </c>
      <c r="C19" s="2">
        <v>0.1</v>
      </c>
      <c r="D19" s="2">
        <v>7.4999999999999997E-2</v>
      </c>
      <c r="E19" s="2">
        <v>7.4999999999999997E-2</v>
      </c>
      <c r="F19" s="2">
        <v>0.55000000000000004</v>
      </c>
      <c r="G19" s="2">
        <v>2.5</v>
      </c>
      <c r="H19" s="14">
        <v>3</v>
      </c>
      <c r="I19" s="15">
        <v>1000</v>
      </c>
      <c r="J19" s="16">
        <v>2000</v>
      </c>
      <c r="K19" s="3">
        <f>I19*'Currency-Conversion'!$C$10</f>
        <v>3063879449.9999995</v>
      </c>
      <c r="L19" s="3">
        <f>J19*'Currency-Conversion'!$C$10</f>
        <v>6127758899.999999</v>
      </c>
      <c r="N19" s="17" t="s">
        <v>348</v>
      </c>
      <c r="O19" s="17"/>
      <c r="P19" s="18"/>
    </row>
    <row r="20" spans="1:16" ht="13.5" customHeight="1">
      <c r="A20" s="13" t="s">
        <v>349</v>
      </c>
      <c r="B20" s="2">
        <v>1.55</v>
      </c>
      <c r="C20" s="2">
        <v>7.4999999999999997E-2</v>
      </c>
      <c r="D20" s="2">
        <v>0.05</v>
      </c>
      <c r="E20" s="2">
        <v>2.5000000000000001E-2</v>
      </c>
      <c r="F20" s="2">
        <v>0.65</v>
      </c>
      <c r="G20" s="2">
        <v>3</v>
      </c>
      <c r="H20" s="14">
        <v>2.95</v>
      </c>
      <c r="I20" s="15">
        <v>2500</v>
      </c>
      <c r="J20" s="16">
        <v>10000</v>
      </c>
      <c r="K20" s="3">
        <f>I20*'Currency-Conversion'!$C$10</f>
        <v>7659698624.999999</v>
      </c>
      <c r="L20" s="3">
        <f>J20*'Currency-Conversion'!$C$10</f>
        <v>30638794499.999996</v>
      </c>
      <c r="N20" s="17" t="s">
        <v>350</v>
      </c>
      <c r="O20" s="17"/>
      <c r="P20" s="18"/>
    </row>
    <row r="21" spans="1:16" ht="13.5" customHeight="1">
      <c r="A21" s="13" t="s">
        <v>351</v>
      </c>
      <c r="B21" s="2">
        <v>1.55</v>
      </c>
      <c r="C21" s="2">
        <v>7.4999999999999997E-2</v>
      </c>
      <c r="D21" s="2">
        <v>0.05</v>
      </c>
      <c r="E21" s="2">
        <v>2.5000000000000001E-2</v>
      </c>
      <c r="F21" s="2">
        <v>0.65</v>
      </c>
      <c r="G21" s="2">
        <v>4</v>
      </c>
      <c r="H21" s="14">
        <v>3.3</v>
      </c>
      <c r="I21" s="15">
        <v>2500</v>
      </c>
      <c r="J21" s="16" t="s">
        <v>352</v>
      </c>
      <c r="K21" s="3">
        <f>I21*'Currency-Conversion'!$C$10</f>
        <v>7659698624.999999</v>
      </c>
      <c r="L21" s="3" t="str">
        <f>J21&amp;" — تبدیل خودکار به ریال ممکن نشد (نرخ به‌ازای واحد ظرفیت است، نه عدد ساده). برای تبدیل دستی، اعداد را در ضریب "&amp;TEXT('Currency-Conversion'!$C$10,"#,##0")&amp;" ضرب کنید."</f>
        <v>100/MW — تبدیل خودکار به ریال ممکن نشد (نرخ به‌ازای واحد ظرفیت است، نه عدد ساده). برای تبدیل دستی، اعداد را در ضریب 3,063,879 ضرب کنید.</v>
      </c>
      <c r="N21" s="17"/>
      <c r="O21" s="17"/>
    </row>
    <row r="22" spans="1:16" ht="13.5" customHeight="1">
      <c r="A22" s="13" t="s">
        <v>353</v>
      </c>
      <c r="B22" s="2">
        <v>1.7</v>
      </c>
      <c r="C22" s="2">
        <v>7.4999999999999997E-2</v>
      </c>
      <c r="D22" s="2">
        <v>0.05</v>
      </c>
      <c r="E22" s="2">
        <v>2.5000000000000001E-2</v>
      </c>
      <c r="F22" s="2">
        <v>0.8</v>
      </c>
      <c r="G22" s="2">
        <v>3</v>
      </c>
      <c r="H22" s="14">
        <v>3.3</v>
      </c>
      <c r="I22" s="15">
        <v>2500</v>
      </c>
      <c r="J22" s="16">
        <v>10000</v>
      </c>
      <c r="K22" s="3">
        <f>I22*'Currency-Conversion'!$C$10</f>
        <v>7659698624.999999</v>
      </c>
      <c r="L22" s="3">
        <f>J22*'Currency-Conversion'!$C$10</f>
        <v>30638794499.999996</v>
      </c>
      <c r="N22" s="17"/>
      <c r="O22" s="17"/>
    </row>
    <row r="23" spans="1:16" ht="13.5" customHeight="1">
      <c r="A23" s="13" t="s">
        <v>354</v>
      </c>
      <c r="B23" s="2">
        <v>1.8</v>
      </c>
      <c r="C23" s="2">
        <v>7.4999999999999997E-2</v>
      </c>
      <c r="D23" s="2">
        <v>0.05</v>
      </c>
      <c r="E23" s="2">
        <v>2.5000000000000001E-2</v>
      </c>
      <c r="F23" s="2">
        <v>0.8</v>
      </c>
      <c r="G23" s="2">
        <v>4</v>
      </c>
      <c r="H23" s="14">
        <v>3.6</v>
      </c>
      <c r="I23" s="15">
        <v>2500</v>
      </c>
      <c r="J23" s="16" t="s">
        <v>352</v>
      </c>
      <c r="K23" s="3">
        <f>I23*'Currency-Conversion'!$C$10</f>
        <v>7659698624.999999</v>
      </c>
      <c r="L23" s="3" t="str">
        <f>J23&amp;" — تبدیل خودکار به ریال ممکن نشد (نرخ به‌ازای واحد ظرفیت است، نه عدد ساده). برای تبدیل دستی، اعداد را در ضریب "&amp;TEXT('Currency-Conversion'!$C$10,"#,##0")&amp;" ضرب کنید."</f>
        <v>100/MW — تبدیل خودکار به ریال ممکن نشد (نرخ به‌ازای واحد ظرفیت است، نه عدد ساده). برای تبدیل دستی، اعداد را در ضریب 3,063,879 ضرب کنید.</v>
      </c>
      <c r="N23" s="17"/>
      <c r="O23" s="17"/>
    </row>
    <row r="24" spans="1:16" ht="13.5" customHeight="1">
      <c r="A24" s="13" t="s">
        <v>355</v>
      </c>
      <c r="B24" s="2">
        <v>1.7</v>
      </c>
      <c r="C24" s="2">
        <v>7.4999999999999997E-2</v>
      </c>
      <c r="D24" s="2">
        <v>0.05</v>
      </c>
      <c r="E24" s="2">
        <v>2.5000000000000001E-2</v>
      </c>
      <c r="F24" s="2">
        <v>0.8</v>
      </c>
      <c r="G24" s="2">
        <v>4</v>
      </c>
      <c r="H24" s="14">
        <v>3.3</v>
      </c>
      <c r="I24" s="15">
        <v>2500</v>
      </c>
      <c r="J24" s="16">
        <v>10000</v>
      </c>
      <c r="K24" s="3">
        <f>I24*'Currency-Conversion'!$C$10</f>
        <v>7659698624.999999</v>
      </c>
      <c r="L24" s="3">
        <f>J24*'Currency-Conversion'!$C$10</f>
        <v>30638794499.999996</v>
      </c>
      <c r="N24" s="17"/>
      <c r="O24" s="17"/>
    </row>
    <row r="25" spans="1:16" ht="13.5" customHeight="1">
      <c r="A25" s="13" t="s">
        <v>356</v>
      </c>
      <c r="B25" s="2">
        <v>1.8</v>
      </c>
      <c r="C25" s="2">
        <v>7.4999999999999997E-2</v>
      </c>
      <c r="D25" s="2">
        <v>0.05</v>
      </c>
      <c r="E25" s="2">
        <v>2.5000000000000001E-2</v>
      </c>
      <c r="F25" s="2">
        <v>0.8</v>
      </c>
      <c r="G25" s="2">
        <v>4</v>
      </c>
      <c r="H25" s="14">
        <v>3.65</v>
      </c>
      <c r="I25" s="15">
        <v>2500</v>
      </c>
      <c r="J25" s="16" t="s">
        <v>352</v>
      </c>
      <c r="K25" s="3">
        <f>I25*'Currency-Conversion'!$C$10</f>
        <v>7659698624.999999</v>
      </c>
      <c r="L25" s="3" t="str">
        <f>J25&amp;" — تبدیل خودکار به ریال ممکن نشد (نرخ به‌ازای واحد ظرفیت است، نه عدد ساده). برای تبدیل دستی، اعداد را در ضریب "&amp;TEXT('Currency-Conversion'!$C$10,"#,##0")&amp;" ضرب کنید."</f>
        <v>100/MW — تبدیل خودکار به ریال ممکن نشد (نرخ به‌ازای واحد ظرفیت است، نه عدد ساده). برای تبدیل دستی، اعداد را در ضریب 3,063,879 ضرب کنید.</v>
      </c>
      <c r="N25" s="17"/>
      <c r="O25" s="17"/>
    </row>
    <row r="26" spans="1:16" ht="13.5" customHeight="1">
      <c r="A26" s="13" t="s">
        <v>357</v>
      </c>
      <c r="B26" s="2">
        <v>1.6</v>
      </c>
      <c r="C26" s="2">
        <v>7.4999999999999997E-2</v>
      </c>
      <c r="D26" s="2">
        <v>0.05</v>
      </c>
      <c r="E26" s="2">
        <v>2.5000000000000001E-2</v>
      </c>
      <c r="F26" s="2">
        <v>0.9</v>
      </c>
      <c r="G26" s="2">
        <v>4</v>
      </c>
      <c r="H26" s="14">
        <v>3.3</v>
      </c>
      <c r="I26" s="15">
        <v>2500</v>
      </c>
      <c r="J26" s="16">
        <v>5000</v>
      </c>
      <c r="K26" s="3">
        <f>I26*'Currency-Conversion'!$C$10</f>
        <v>7659698624.999999</v>
      </c>
      <c r="L26" s="3">
        <f>J26*'Currency-Conversion'!$C$10</f>
        <v>15319397249.999998</v>
      </c>
      <c r="N26" s="17"/>
      <c r="O26" s="17"/>
    </row>
    <row r="27" spans="1:16" ht="13.5" customHeight="1">
      <c r="A27" s="13" t="s">
        <v>358</v>
      </c>
      <c r="B27" s="2">
        <v>1.7</v>
      </c>
      <c r="C27" s="2">
        <v>7.4999999999999997E-2</v>
      </c>
      <c r="D27" s="2">
        <v>0.05</v>
      </c>
      <c r="E27" s="2">
        <v>2.5000000000000001E-2</v>
      </c>
      <c r="F27" s="2">
        <v>0.9</v>
      </c>
      <c r="G27" s="2">
        <v>4</v>
      </c>
      <c r="H27" s="14">
        <v>3.75</v>
      </c>
      <c r="I27" s="15">
        <v>2500</v>
      </c>
      <c r="J27" s="16" t="s">
        <v>352</v>
      </c>
      <c r="K27" s="3">
        <f>I27*'Currency-Conversion'!$C$10</f>
        <v>7659698624.999999</v>
      </c>
      <c r="L27" s="3" t="str">
        <f>J27&amp;" — تبدیل خودکار به ریال ممکن نشد (نرخ به‌ازای واحد ظرفیت است، نه عدد ساده). برای تبدیل دستی، اعداد را در ضریب "&amp;TEXT('Currency-Conversion'!$C$10,"#,##0")&amp;" ضرب کنید."</f>
        <v>100/MW — تبدیل خودکار به ریال ممکن نشد (نرخ به‌ازای واحد ظرفیت است، نه عدد ساده). برای تبدیل دستی، اعداد را در ضریب 3,063,879 ضرب کنید.</v>
      </c>
      <c r="N27" s="17"/>
      <c r="O27" s="17"/>
    </row>
    <row r="28" spans="1:16" ht="13.5" customHeight="1">
      <c r="A28" s="13" t="s">
        <v>359</v>
      </c>
      <c r="B28" s="2">
        <v>1.75</v>
      </c>
      <c r="C28" s="2">
        <v>0.1</v>
      </c>
      <c r="D28" s="2">
        <v>7.4999999999999997E-2</v>
      </c>
      <c r="E28" s="2">
        <v>0.05</v>
      </c>
      <c r="F28" s="2">
        <v>0.8</v>
      </c>
      <c r="G28" s="2">
        <v>5</v>
      </c>
      <c r="H28" s="14">
        <v>3.6</v>
      </c>
      <c r="I28" s="15">
        <v>2500</v>
      </c>
      <c r="J28" s="16">
        <v>5000</v>
      </c>
      <c r="K28" s="3">
        <f>I28*'Currency-Conversion'!$C$10</f>
        <v>7659698624.999999</v>
      </c>
      <c r="L28" s="3">
        <f>J28*'Currency-Conversion'!$C$10</f>
        <v>15319397249.999998</v>
      </c>
      <c r="N28" s="17"/>
      <c r="O28" s="17"/>
    </row>
    <row r="29" spans="1:16" ht="13.5" customHeight="1">
      <c r="A29" s="13" t="s">
        <v>360</v>
      </c>
      <c r="B29" s="2">
        <v>1.75</v>
      </c>
      <c r="C29" s="2">
        <v>0.1</v>
      </c>
      <c r="D29" s="2">
        <v>7.4999999999999997E-2</v>
      </c>
      <c r="E29" s="2">
        <v>0.05</v>
      </c>
      <c r="F29" s="2">
        <v>0.8</v>
      </c>
      <c r="G29" s="2">
        <v>5</v>
      </c>
      <c r="H29" s="14">
        <v>4.0999999999999996</v>
      </c>
      <c r="I29" s="15">
        <v>2500</v>
      </c>
      <c r="J29" s="16">
        <v>10000</v>
      </c>
      <c r="K29" s="3">
        <f>I29*'Currency-Conversion'!$C$10</f>
        <v>7659698624.999999</v>
      </c>
      <c r="L29" s="3">
        <f>J29*'Currency-Conversion'!$C$10</f>
        <v>30638794499.999996</v>
      </c>
      <c r="N29" s="17"/>
      <c r="O29" s="17"/>
    </row>
    <row r="30" spans="1:16" ht="13.5" customHeight="1">
      <c r="A30" s="13" t="s">
        <v>361</v>
      </c>
      <c r="B30" s="2">
        <v>1.65</v>
      </c>
      <c r="C30" s="2">
        <v>0.1</v>
      </c>
      <c r="D30" s="2">
        <v>7.4999999999999997E-2</v>
      </c>
      <c r="E30" s="2">
        <v>0.05</v>
      </c>
      <c r="F30" s="2">
        <v>0.9</v>
      </c>
      <c r="G30" s="2">
        <v>5</v>
      </c>
      <c r="H30" s="14">
        <v>3.85</v>
      </c>
      <c r="I30" s="15">
        <v>2500</v>
      </c>
      <c r="J30" s="16">
        <v>5000</v>
      </c>
      <c r="K30" s="3">
        <f>I30*'Currency-Conversion'!$C$10</f>
        <v>7659698624.999999</v>
      </c>
      <c r="L30" s="3">
        <f>J30*'Currency-Conversion'!$C$10</f>
        <v>15319397249.999998</v>
      </c>
      <c r="N30" s="17"/>
      <c r="O30" s="17"/>
    </row>
    <row r="31" spans="1:16" ht="13.5" customHeight="1">
      <c r="A31" s="13" t="s">
        <v>362</v>
      </c>
      <c r="B31" s="2">
        <v>1.75</v>
      </c>
      <c r="C31" s="2">
        <v>0.1</v>
      </c>
      <c r="D31" s="2">
        <v>7.4999999999999997E-2</v>
      </c>
      <c r="E31" s="2">
        <v>0.05</v>
      </c>
      <c r="F31" s="2">
        <v>0.9</v>
      </c>
      <c r="G31" s="2">
        <v>5</v>
      </c>
      <c r="H31" s="14">
        <v>4.25</v>
      </c>
      <c r="I31" s="15">
        <v>2500</v>
      </c>
      <c r="J31" s="16">
        <v>10000</v>
      </c>
      <c r="K31" s="3">
        <f>I31*'Currency-Conversion'!$C$10</f>
        <v>7659698624.999999</v>
      </c>
      <c r="L31" s="3">
        <f>J31*'Currency-Conversion'!$C$10</f>
        <v>30638794499.999996</v>
      </c>
      <c r="N31" s="17"/>
      <c r="O31" s="17"/>
    </row>
    <row r="32" spans="1:16" ht="13.5" customHeight="1">
      <c r="A32" s="13" t="s">
        <v>363</v>
      </c>
      <c r="B32" s="2">
        <v>1.5</v>
      </c>
      <c r="C32" s="2">
        <v>7.4999999999999997E-2</v>
      </c>
      <c r="D32" s="2">
        <v>0.05</v>
      </c>
      <c r="E32" s="2">
        <v>2.5000000000000001E-2</v>
      </c>
      <c r="F32" s="2">
        <v>0.55000000000000004</v>
      </c>
      <c r="G32" s="2">
        <v>3.5</v>
      </c>
      <c r="H32" s="14">
        <v>3.3</v>
      </c>
      <c r="I32" s="15">
        <v>2500</v>
      </c>
      <c r="J32" s="16">
        <v>5000</v>
      </c>
      <c r="K32" s="3">
        <f>I32*'Currency-Conversion'!$C$10</f>
        <v>7659698624.999999</v>
      </c>
      <c r="L32" s="3">
        <f>J32*'Currency-Conversion'!$C$10</f>
        <v>15319397249.999998</v>
      </c>
      <c r="N32" s="17"/>
      <c r="O32" s="17"/>
    </row>
    <row r="33" spans="1:15" ht="13.5" customHeight="1">
      <c r="A33" s="13" t="s">
        <v>364</v>
      </c>
      <c r="B33" s="2">
        <v>1.5</v>
      </c>
      <c r="C33" s="2">
        <v>7.4999999999999997E-2</v>
      </c>
      <c r="D33" s="2">
        <v>0.05</v>
      </c>
      <c r="E33" s="2">
        <v>2.5000000000000001E-2</v>
      </c>
      <c r="F33" s="2">
        <v>0.65</v>
      </c>
      <c r="G33" s="2">
        <v>3</v>
      </c>
      <c r="H33" s="14">
        <v>3.3</v>
      </c>
      <c r="I33" s="15">
        <v>2500</v>
      </c>
      <c r="J33" s="16">
        <v>5000</v>
      </c>
      <c r="K33" s="3">
        <f>I33*'Currency-Conversion'!$C$10</f>
        <v>7659698624.999999</v>
      </c>
      <c r="L33" s="3">
        <f>J33*'Currency-Conversion'!$C$10</f>
        <v>15319397249.999998</v>
      </c>
      <c r="N33" s="17"/>
      <c r="O33" s="17"/>
    </row>
    <row r="34" spans="1:15" ht="13.5" customHeight="1">
      <c r="A34" s="13" t="s">
        <v>365</v>
      </c>
      <c r="B34" s="2">
        <v>1.7</v>
      </c>
      <c r="C34" s="2">
        <v>7.4999999999999997E-2</v>
      </c>
      <c r="D34" s="2">
        <v>0.05</v>
      </c>
      <c r="E34" s="2">
        <v>0.05</v>
      </c>
      <c r="F34" s="2">
        <v>0.75</v>
      </c>
      <c r="G34" s="2">
        <v>5</v>
      </c>
      <c r="H34" s="14">
        <v>3.15</v>
      </c>
      <c r="I34" s="15">
        <v>2500</v>
      </c>
      <c r="J34" s="16">
        <v>5000</v>
      </c>
      <c r="K34" s="3">
        <f>I34*'Currency-Conversion'!$C$10</f>
        <v>7659698624.999999</v>
      </c>
      <c r="L34" s="3">
        <f>J34*'Currency-Conversion'!$C$10</f>
        <v>15319397249.999998</v>
      </c>
      <c r="N34" s="17"/>
      <c r="O34" s="17"/>
    </row>
    <row r="35" spans="1:15" ht="13.5" customHeight="1">
      <c r="A35" s="13" t="s">
        <v>366</v>
      </c>
      <c r="B35" s="2">
        <v>1.7</v>
      </c>
      <c r="C35" s="2">
        <v>7.4999999999999997E-2</v>
      </c>
      <c r="D35" s="2">
        <v>0.05</v>
      </c>
      <c r="E35" s="2">
        <v>0.05</v>
      </c>
      <c r="F35" s="2">
        <v>0.9</v>
      </c>
      <c r="G35" s="2">
        <v>6</v>
      </c>
      <c r="H35" s="14">
        <v>3.4</v>
      </c>
      <c r="I35" s="15">
        <v>2500</v>
      </c>
      <c r="J35" s="16">
        <v>5000</v>
      </c>
      <c r="K35" s="3">
        <f>I35*'Currency-Conversion'!$C$10</f>
        <v>7659698624.999999</v>
      </c>
      <c r="L35" s="3">
        <f>J35*'Currency-Conversion'!$C$10</f>
        <v>15319397249.999998</v>
      </c>
      <c r="N35" s="17"/>
      <c r="O35" s="17"/>
    </row>
    <row r="36" spans="1:15" ht="13.5" customHeight="1">
      <c r="A36" s="13" t="s">
        <v>367</v>
      </c>
      <c r="B36" s="2">
        <v>1.7</v>
      </c>
      <c r="C36" s="2">
        <v>7.4999999999999997E-2</v>
      </c>
      <c r="D36" s="2">
        <v>0.05</v>
      </c>
      <c r="E36" s="2">
        <v>0.05</v>
      </c>
      <c r="F36" s="2">
        <v>1.1000000000000001</v>
      </c>
      <c r="G36" s="2">
        <v>7</v>
      </c>
      <c r="H36" s="14">
        <v>3.65</v>
      </c>
      <c r="I36" s="15">
        <v>5000</v>
      </c>
      <c r="J36" s="16">
        <v>10000</v>
      </c>
      <c r="K36" s="3">
        <f>I36*'Currency-Conversion'!$C$10</f>
        <v>15319397249.999998</v>
      </c>
      <c r="L36" s="3">
        <f>J36*'Currency-Conversion'!$C$10</f>
        <v>30638794499.999996</v>
      </c>
      <c r="N36" s="17"/>
      <c r="O36" s="17"/>
    </row>
    <row r="37" spans="1:15" ht="13.5" customHeight="1">
      <c r="A37" s="13" t="s">
        <v>368</v>
      </c>
      <c r="B37" s="2">
        <v>1.6</v>
      </c>
      <c r="C37" s="2">
        <v>7.4999999999999997E-2</v>
      </c>
      <c r="D37" s="2">
        <v>0.05</v>
      </c>
      <c r="E37" s="2">
        <v>0.05</v>
      </c>
      <c r="F37" s="2">
        <v>0.65</v>
      </c>
      <c r="G37" s="2">
        <v>5</v>
      </c>
      <c r="H37" s="14">
        <v>2.9</v>
      </c>
      <c r="I37" s="15">
        <v>1000</v>
      </c>
      <c r="J37" s="16">
        <v>2500</v>
      </c>
      <c r="K37" s="3">
        <f>I37*'Currency-Conversion'!$C$10</f>
        <v>3063879449.9999995</v>
      </c>
      <c r="L37" s="3">
        <f>J37*'Currency-Conversion'!$C$10</f>
        <v>7659698624.999999</v>
      </c>
      <c r="N37" s="17"/>
      <c r="O37" s="17"/>
    </row>
    <row r="38" spans="1:15" ht="13.5" customHeight="1">
      <c r="A38" s="13" t="s">
        <v>369</v>
      </c>
      <c r="B38" s="2">
        <v>1.55</v>
      </c>
      <c r="C38" s="2">
        <v>7.4999999999999997E-2</v>
      </c>
      <c r="D38" s="2">
        <v>0.05</v>
      </c>
      <c r="E38" s="2">
        <v>0.05</v>
      </c>
      <c r="F38" s="2">
        <v>0.55000000000000004</v>
      </c>
      <c r="G38" s="2">
        <v>2</v>
      </c>
      <c r="H38" s="14">
        <v>2.7</v>
      </c>
      <c r="I38" s="15">
        <v>1000</v>
      </c>
      <c r="J38" s="16">
        <v>2500</v>
      </c>
      <c r="K38" s="3">
        <f>I38*'Currency-Conversion'!$C$10</f>
        <v>3063879449.9999995</v>
      </c>
      <c r="L38" s="3">
        <f>J38*'Currency-Conversion'!$C$10</f>
        <v>7659698624.999999</v>
      </c>
      <c r="N38" s="17"/>
      <c r="O38" s="17"/>
    </row>
    <row r="39" spans="1:15" ht="13.5" customHeight="1">
      <c r="A39" s="13" t="s">
        <v>370</v>
      </c>
      <c r="B39" s="2">
        <v>1.7</v>
      </c>
      <c r="C39" s="2">
        <v>7.4999999999999997E-2</v>
      </c>
      <c r="D39" s="2">
        <v>0.05</v>
      </c>
      <c r="E39" s="2">
        <v>0.05</v>
      </c>
      <c r="F39" s="2">
        <v>0.55000000000000004</v>
      </c>
      <c r="G39" s="2">
        <v>2.5</v>
      </c>
      <c r="H39" s="14">
        <v>2.85</v>
      </c>
      <c r="I39" s="15">
        <v>1000</v>
      </c>
      <c r="J39" s="16">
        <v>2500</v>
      </c>
      <c r="K39" s="3">
        <f>I39*'Currency-Conversion'!$C$10</f>
        <v>3063879449.9999995</v>
      </c>
      <c r="L39" s="3">
        <f>J39*'Currency-Conversion'!$C$10</f>
        <v>7659698624.999999</v>
      </c>
      <c r="N39" s="17"/>
      <c r="O39" s="17"/>
    </row>
    <row r="40" spans="1:15" ht="13.5" customHeight="1">
      <c r="A40" s="13" t="s">
        <v>371</v>
      </c>
      <c r="B40" s="2">
        <v>1.8</v>
      </c>
      <c r="C40" s="2">
        <v>7.4999999999999997E-2</v>
      </c>
      <c r="D40" s="2">
        <v>0.05</v>
      </c>
      <c r="E40" s="2">
        <v>0.05</v>
      </c>
      <c r="F40" s="2">
        <v>0.65</v>
      </c>
      <c r="G40" s="2">
        <v>3</v>
      </c>
      <c r="H40" s="14">
        <v>3.3</v>
      </c>
      <c r="I40" s="15">
        <v>1000</v>
      </c>
      <c r="J40" s="16">
        <v>2500</v>
      </c>
      <c r="K40" s="3">
        <f>I40*'Currency-Conversion'!$C$10</f>
        <v>3063879449.9999995</v>
      </c>
      <c r="L40" s="3">
        <f>J40*'Currency-Conversion'!$C$10</f>
        <v>7659698624.999999</v>
      </c>
      <c r="N40" s="17"/>
      <c r="O40" s="17"/>
    </row>
    <row r="41" spans="1:15" ht="13.5" customHeight="1">
      <c r="A41" s="13" t="s">
        <v>372</v>
      </c>
      <c r="B41" s="2">
        <v>1.55</v>
      </c>
      <c r="C41" s="2">
        <v>7.4999999999999997E-2</v>
      </c>
      <c r="D41" s="2">
        <v>0.05</v>
      </c>
      <c r="E41" s="2">
        <v>0.05</v>
      </c>
      <c r="F41" s="2">
        <v>0.45</v>
      </c>
      <c r="G41" s="2">
        <v>1.5</v>
      </c>
      <c r="H41" s="14">
        <v>3</v>
      </c>
      <c r="I41" s="15">
        <v>2500</v>
      </c>
      <c r="J41" s="16">
        <v>2500</v>
      </c>
      <c r="K41" s="3">
        <f>I41*'Currency-Conversion'!$C$10</f>
        <v>7659698624.999999</v>
      </c>
      <c r="L41" s="3">
        <f>J41*'Currency-Conversion'!$C$10</f>
        <v>7659698624.999999</v>
      </c>
      <c r="N41" s="17"/>
      <c r="O41" s="17"/>
    </row>
    <row r="42" spans="1:15" ht="13.5" customHeight="1">
      <c r="A42" s="13" t="s">
        <v>373</v>
      </c>
      <c r="B42" s="2">
        <v>1.65</v>
      </c>
      <c r="C42" s="2">
        <v>7.4999999999999997E-2</v>
      </c>
      <c r="D42" s="2">
        <v>0.05</v>
      </c>
      <c r="E42" s="2">
        <v>0.05</v>
      </c>
      <c r="F42" s="2">
        <v>0.55000000000000004</v>
      </c>
      <c r="G42" s="2">
        <v>1.5</v>
      </c>
      <c r="H42" s="14">
        <v>3.15</v>
      </c>
      <c r="I42" s="15">
        <v>2500</v>
      </c>
      <c r="J42" s="16">
        <v>2500</v>
      </c>
      <c r="K42" s="3">
        <f>I42*'Currency-Conversion'!$C$10</f>
        <v>7659698624.999999</v>
      </c>
      <c r="L42" s="3">
        <f>J42*'Currency-Conversion'!$C$10</f>
        <v>7659698624.999999</v>
      </c>
      <c r="N42" s="17"/>
      <c r="O42" s="17"/>
    </row>
    <row r="43" spans="1:15" ht="13.5" customHeight="1">
      <c r="A43" s="13" t="s">
        <v>374</v>
      </c>
      <c r="B43" s="2">
        <v>1.75</v>
      </c>
      <c r="C43" s="2">
        <v>7.4999999999999997E-2</v>
      </c>
      <c r="D43" s="2">
        <v>0.05</v>
      </c>
      <c r="E43" s="2">
        <v>0.05</v>
      </c>
      <c r="F43" s="2">
        <v>0.65</v>
      </c>
      <c r="G43" s="2">
        <v>2</v>
      </c>
      <c r="H43" s="14">
        <v>3.6</v>
      </c>
      <c r="I43" s="15">
        <v>5000</v>
      </c>
      <c r="J43" s="16">
        <v>5000</v>
      </c>
      <c r="K43" s="3">
        <f>I43*'Currency-Conversion'!$C$10</f>
        <v>15319397249.999998</v>
      </c>
      <c r="L43" s="3">
        <f>J43*'Currency-Conversion'!$C$10</f>
        <v>15319397249.999998</v>
      </c>
      <c r="N43" s="17"/>
      <c r="O43" s="17"/>
    </row>
    <row r="44" spans="1:15" ht="13.5" customHeight="1">
      <c r="A44" s="13" t="s">
        <v>375</v>
      </c>
      <c r="B44" s="2">
        <v>1.55</v>
      </c>
      <c r="C44" s="2">
        <v>0.1</v>
      </c>
      <c r="D44" s="2">
        <v>0.05</v>
      </c>
      <c r="E44" s="2">
        <v>0.05</v>
      </c>
      <c r="F44" s="2">
        <v>0.55000000000000004</v>
      </c>
      <c r="G44" s="2">
        <v>3</v>
      </c>
      <c r="H44" s="14">
        <v>2.85</v>
      </c>
      <c r="I44" s="15">
        <v>2500</v>
      </c>
      <c r="J44" s="16">
        <v>2500</v>
      </c>
      <c r="K44" s="3">
        <f>I44*'Currency-Conversion'!$C$10</f>
        <v>7659698624.999999</v>
      </c>
      <c r="L44" s="3">
        <f>J44*'Currency-Conversion'!$C$10</f>
        <v>7659698624.999999</v>
      </c>
      <c r="N44" s="17"/>
      <c r="O44" s="17"/>
    </row>
    <row r="45" spans="1:15" ht="13.5" customHeight="1">
      <c r="A45" s="13" t="s">
        <v>376</v>
      </c>
      <c r="B45" s="2">
        <v>1.7</v>
      </c>
      <c r="C45" s="2">
        <v>0.1</v>
      </c>
      <c r="D45" s="2">
        <v>0.05</v>
      </c>
      <c r="E45" s="2">
        <v>0.05</v>
      </c>
      <c r="F45" s="2">
        <v>0.75</v>
      </c>
      <c r="G45" s="2">
        <v>5</v>
      </c>
      <c r="H45" s="14">
        <v>3.3</v>
      </c>
      <c r="I45" s="15">
        <v>5000</v>
      </c>
      <c r="J45" s="16">
        <v>5000</v>
      </c>
      <c r="K45" s="3">
        <f>I45*'Currency-Conversion'!$C$10</f>
        <v>15319397249.999998</v>
      </c>
      <c r="L45" s="3">
        <f>J45*'Currency-Conversion'!$C$10</f>
        <v>15319397249.999998</v>
      </c>
      <c r="N45" s="17"/>
      <c r="O45" s="17"/>
    </row>
    <row r="46" spans="1:15" ht="27.75" customHeight="1">
      <c r="A46" s="13" t="s">
        <v>377</v>
      </c>
      <c r="B46" s="2">
        <v>1.5</v>
      </c>
      <c r="C46" s="2">
        <v>7.4999999999999997E-2</v>
      </c>
      <c r="D46" s="2">
        <v>7.4999999999999997E-2</v>
      </c>
      <c r="E46" s="2">
        <v>0.05</v>
      </c>
      <c r="F46" s="2">
        <v>0.65</v>
      </c>
      <c r="G46" s="2">
        <v>3.5</v>
      </c>
      <c r="H46" s="14">
        <v>3</v>
      </c>
      <c r="I46" s="15">
        <v>2500</v>
      </c>
      <c r="J46" s="16">
        <v>5000</v>
      </c>
      <c r="K46" s="3">
        <f>I46*'Currency-Conversion'!$C$10</f>
        <v>7659698624.999999</v>
      </c>
      <c r="L46" s="3">
        <f>J46*'Currency-Conversion'!$C$10</f>
        <v>15319397249.999998</v>
      </c>
      <c r="N46" s="17"/>
      <c r="O46" s="17"/>
    </row>
    <row r="47" spans="1:15" ht="13.5" customHeight="1">
      <c r="A47" s="13" t="s">
        <v>378</v>
      </c>
      <c r="B47" s="2">
        <v>1.7</v>
      </c>
      <c r="C47" s="2">
        <v>0.1</v>
      </c>
      <c r="D47" s="2">
        <v>0.05</v>
      </c>
      <c r="E47" s="2">
        <v>0.05</v>
      </c>
      <c r="F47" s="2">
        <v>0.45</v>
      </c>
      <c r="G47" s="2">
        <v>4</v>
      </c>
      <c r="H47" s="14">
        <v>3.6</v>
      </c>
      <c r="I47" s="15">
        <v>5000</v>
      </c>
      <c r="J47" s="16">
        <v>10000</v>
      </c>
      <c r="K47" s="3">
        <f>I47*'Currency-Conversion'!$C$10</f>
        <v>15319397249.999998</v>
      </c>
      <c r="L47" s="3">
        <f>J47*'Currency-Conversion'!$C$10</f>
        <v>30638794499.999996</v>
      </c>
      <c r="N47" s="17"/>
      <c r="O47" s="17"/>
    </row>
    <row r="48" spans="1:15" ht="13.5" customHeight="1">
      <c r="A48" s="13" t="s">
        <v>379</v>
      </c>
      <c r="B48" s="2">
        <v>1.85</v>
      </c>
      <c r="C48" s="2">
        <v>0.1</v>
      </c>
      <c r="D48" s="2">
        <v>7.4999999999999997E-2</v>
      </c>
      <c r="E48" s="2">
        <v>0.05</v>
      </c>
      <c r="F48" s="2">
        <v>0.65</v>
      </c>
      <c r="G48" s="2">
        <v>5</v>
      </c>
      <c r="H48" s="14">
        <v>4.1500000000000004</v>
      </c>
      <c r="I48" s="15">
        <v>5000</v>
      </c>
      <c r="J48" s="16">
        <v>10000</v>
      </c>
      <c r="K48" s="3">
        <f>I48*'Currency-Conversion'!$C$10</f>
        <v>15319397249.999998</v>
      </c>
      <c r="L48" s="3">
        <f>J48*'Currency-Conversion'!$C$10</f>
        <v>30638794499.999996</v>
      </c>
      <c r="N48" s="17"/>
      <c r="O48" s="17"/>
    </row>
    <row r="49" spans="1:15" ht="13.5" customHeight="1">
      <c r="A49" s="13" t="s">
        <v>380</v>
      </c>
      <c r="B49" s="2">
        <v>1.7</v>
      </c>
      <c r="C49" s="2">
        <v>0.1</v>
      </c>
      <c r="D49" s="2">
        <v>0.05</v>
      </c>
      <c r="E49" s="2">
        <v>0.05</v>
      </c>
      <c r="F49" s="2">
        <v>0.55000000000000004</v>
      </c>
      <c r="G49" s="2">
        <v>3.5</v>
      </c>
      <c r="H49" s="14">
        <v>3.3</v>
      </c>
      <c r="I49" s="15">
        <v>1000</v>
      </c>
      <c r="J49" s="16">
        <v>2500</v>
      </c>
      <c r="K49" s="3">
        <f>I49*'Currency-Conversion'!$C$10</f>
        <v>3063879449.9999995</v>
      </c>
      <c r="L49" s="3">
        <f>J49*'Currency-Conversion'!$C$10</f>
        <v>7659698624.999999</v>
      </c>
      <c r="N49" s="17"/>
      <c r="O49" s="17"/>
    </row>
    <row r="50" spans="1:15" ht="13.5" customHeight="1">
      <c r="A50" s="13" t="s">
        <v>381</v>
      </c>
      <c r="B50" s="2">
        <v>1.6</v>
      </c>
      <c r="C50" s="2">
        <v>0.15</v>
      </c>
      <c r="D50" s="2">
        <v>0.05</v>
      </c>
      <c r="E50" s="2">
        <v>0.05</v>
      </c>
      <c r="F50" s="2">
        <v>0.5</v>
      </c>
      <c r="G50" s="2">
        <v>3</v>
      </c>
      <c r="H50" s="14">
        <v>3.1</v>
      </c>
      <c r="I50" s="15">
        <v>1000</v>
      </c>
      <c r="J50" s="16">
        <v>2500</v>
      </c>
      <c r="K50" s="3">
        <f>I50*'Currency-Conversion'!$C$10</f>
        <v>3063879449.9999995</v>
      </c>
      <c r="L50" s="3">
        <f>J50*'Currency-Conversion'!$C$10</f>
        <v>7659698624.999999</v>
      </c>
      <c r="N50" s="17"/>
      <c r="O50" s="17"/>
    </row>
    <row r="51" spans="1:15" ht="13.5" customHeight="1">
      <c r="A51" s="13" t="s">
        <v>382</v>
      </c>
      <c r="B51" s="2">
        <v>1.65</v>
      </c>
      <c r="C51" s="2">
        <v>0.1</v>
      </c>
      <c r="D51" s="2">
        <v>7.4999999999999997E-2</v>
      </c>
      <c r="E51" s="2">
        <v>0.05</v>
      </c>
      <c r="F51" s="2">
        <v>0.55000000000000004</v>
      </c>
      <c r="G51" s="2">
        <v>5</v>
      </c>
      <c r="H51" s="14">
        <v>4.2</v>
      </c>
      <c r="I51" s="15">
        <v>2500</v>
      </c>
      <c r="J51" s="16">
        <v>5000</v>
      </c>
      <c r="K51" s="3">
        <f>I51*'Currency-Conversion'!$C$10</f>
        <v>7659698624.999999</v>
      </c>
      <c r="L51" s="3">
        <f>J51*'Currency-Conversion'!$C$10</f>
        <v>15319397249.999998</v>
      </c>
      <c r="N51" s="17"/>
      <c r="O51" s="17"/>
    </row>
    <row r="52" spans="1:15" ht="13.5" customHeight="1">
      <c r="A52" s="13" t="s">
        <v>383</v>
      </c>
      <c r="B52" s="2">
        <v>1.5</v>
      </c>
      <c r="C52" s="2">
        <v>7.4999999999999997E-2</v>
      </c>
      <c r="D52" s="2">
        <v>7.4999999999999997E-2</v>
      </c>
      <c r="E52" s="2">
        <v>0.05</v>
      </c>
      <c r="F52" s="2">
        <v>0.45</v>
      </c>
      <c r="G52" s="2">
        <v>4</v>
      </c>
      <c r="H52" s="14">
        <v>3.3</v>
      </c>
      <c r="I52" s="15">
        <v>1000</v>
      </c>
      <c r="J52" s="16">
        <v>2500</v>
      </c>
      <c r="K52" s="3">
        <f>I52*'Currency-Conversion'!$C$10</f>
        <v>3063879449.9999995</v>
      </c>
      <c r="L52" s="3">
        <f>J52*'Currency-Conversion'!$C$10</f>
        <v>7659698624.999999</v>
      </c>
      <c r="N52" s="17"/>
      <c r="O52" s="17"/>
    </row>
    <row r="53" spans="1:15" ht="13.5" customHeight="1">
      <c r="A53" s="13" t="s">
        <v>384</v>
      </c>
      <c r="B53" s="2">
        <v>1.7</v>
      </c>
      <c r="C53" s="2">
        <v>0.1</v>
      </c>
      <c r="D53" s="2">
        <v>0.05</v>
      </c>
      <c r="E53" s="2">
        <v>0.05</v>
      </c>
      <c r="F53" s="2">
        <v>1.1000000000000001</v>
      </c>
      <c r="G53" s="2">
        <v>8</v>
      </c>
      <c r="H53" s="14">
        <v>4.3</v>
      </c>
      <c r="I53" s="15">
        <v>1000</v>
      </c>
      <c r="J53" s="16">
        <v>7500</v>
      </c>
      <c r="K53" s="3">
        <f>I53*'Currency-Conversion'!$C$10</f>
        <v>3063879449.9999995</v>
      </c>
      <c r="L53" s="3">
        <f>J53*'Currency-Conversion'!$C$10</f>
        <v>22979095874.999996</v>
      </c>
      <c r="N53" s="17"/>
      <c r="O53" s="17"/>
    </row>
    <row r="54" spans="1:15" ht="27.75" customHeight="1">
      <c r="A54" s="13" t="s">
        <v>385</v>
      </c>
      <c r="B54" s="2">
        <v>2.0499999999999998</v>
      </c>
      <c r="C54" s="2">
        <v>7.4999999999999997E-2</v>
      </c>
      <c r="D54" s="2">
        <v>0.05</v>
      </c>
      <c r="E54" s="2">
        <v>0.05</v>
      </c>
      <c r="F54" s="2">
        <v>0.75</v>
      </c>
      <c r="G54" s="2">
        <v>5</v>
      </c>
      <c r="H54" s="14">
        <v>4.05</v>
      </c>
      <c r="I54" s="15">
        <v>2500</v>
      </c>
      <c r="J54" s="16">
        <v>5000</v>
      </c>
      <c r="K54" s="3">
        <f>I54*'Currency-Conversion'!$C$10</f>
        <v>7659698624.999999</v>
      </c>
      <c r="L54" s="3">
        <f>J54*'Currency-Conversion'!$C$10</f>
        <v>15319397249.999998</v>
      </c>
      <c r="N54" s="17"/>
      <c r="O54" s="17"/>
    </row>
    <row r="55" spans="1:15" ht="27.75" customHeight="1">
      <c r="A55" s="13" t="s">
        <v>386</v>
      </c>
      <c r="B55" s="2">
        <v>1.7</v>
      </c>
      <c r="C55" s="2">
        <v>7.4999999999999997E-2</v>
      </c>
      <c r="D55" s="2">
        <v>0.05</v>
      </c>
      <c r="E55" s="2">
        <v>0.05</v>
      </c>
      <c r="F55" s="2">
        <v>0.45</v>
      </c>
      <c r="G55" s="2">
        <v>3</v>
      </c>
      <c r="H55" s="14">
        <v>2.75</v>
      </c>
      <c r="I55" s="15">
        <v>1000</v>
      </c>
      <c r="J55" s="16">
        <v>2000</v>
      </c>
      <c r="K55" s="3">
        <f>I55*'Currency-Conversion'!$C$10</f>
        <v>3063879449.9999995</v>
      </c>
      <c r="L55" s="3">
        <f>J55*'Currency-Conversion'!$C$10</f>
        <v>6127758899.999999</v>
      </c>
      <c r="N55" s="17"/>
      <c r="O55" s="17"/>
    </row>
    <row r="56" spans="1:15" ht="27.75" customHeight="1">
      <c r="A56" s="13" t="s">
        <v>387</v>
      </c>
      <c r="B56" s="2">
        <v>1.55</v>
      </c>
      <c r="C56" s="2">
        <v>7.4999999999999997E-2</v>
      </c>
      <c r="D56" s="2">
        <v>0.05</v>
      </c>
      <c r="E56" s="2">
        <v>0.05</v>
      </c>
      <c r="F56" s="2">
        <v>0.45</v>
      </c>
      <c r="G56" s="2">
        <v>2</v>
      </c>
      <c r="H56" s="14">
        <v>2.75</v>
      </c>
      <c r="I56" s="15">
        <v>1000</v>
      </c>
      <c r="J56" s="16">
        <v>2000</v>
      </c>
      <c r="K56" s="3">
        <f>I56*'Currency-Conversion'!$C$10</f>
        <v>3063879449.9999995</v>
      </c>
      <c r="L56" s="3">
        <f>J56*'Currency-Conversion'!$C$10</f>
        <v>6127758899.999999</v>
      </c>
      <c r="N56" s="17"/>
      <c r="O56" s="17"/>
    </row>
    <row r="57" spans="1:15" ht="13.5" customHeight="1">
      <c r="A57" s="13" t="s">
        <v>388</v>
      </c>
      <c r="B57" s="2">
        <v>1.45</v>
      </c>
      <c r="C57" s="2">
        <v>7.4999999999999997E-2</v>
      </c>
      <c r="D57" s="2">
        <v>0.05</v>
      </c>
      <c r="E57" s="2">
        <v>0.05</v>
      </c>
      <c r="F57" s="2">
        <v>0.45</v>
      </c>
      <c r="G57" s="2">
        <v>2</v>
      </c>
      <c r="H57" s="14">
        <v>3.3</v>
      </c>
      <c r="I57" s="15">
        <v>1000</v>
      </c>
      <c r="J57" s="16">
        <v>2000</v>
      </c>
      <c r="K57" s="3">
        <f>I57*'Currency-Conversion'!$C$10</f>
        <v>3063879449.9999995</v>
      </c>
      <c r="L57" s="3">
        <f>J57*'Currency-Conversion'!$C$10</f>
        <v>6127758899.999999</v>
      </c>
      <c r="N57" s="17"/>
      <c r="O57" s="17"/>
    </row>
    <row r="58" spans="1:15" ht="13.5" customHeight="1">
      <c r="A58" s="13" t="s">
        <v>389</v>
      </c>
      <c r="B58" s="2">
        <v>1.85</v>
      </c>
      <c r="C58" s="2">
        <v>0.1</v>
      </c>
      <c r="D58" s="2">
        <v>0.05</v>
      </c>
      <c r="E58" s="2">
        <v>0.05</v>
      </c>
      <c r="F58" s="2">
        <v>0.55000000000000004</v>
      </c>
      <c r="G58" s="2">
        <v>4</v>
      </c>
      <c r="H58" s="14">
        <v>4.4000000000000004</v>
      </c>
      <c r="I58" s="15">
        <v>1000</v>
      </c>
      <c r="J58" s="16">
        <v>2000</v>
      </c>
      <c r="K58" s="3">
        <f>I58*'Currency-Conversion'!$C$10</f>
        <v>3063879449.9999995</v>
      </c>
      <c r="L58" s="3">
        <f>J58*'Currency-Conversion'!$C$10</f>
        <v>6127758899.999999</v>
      </c>
      <c r="N58" s="17"/>
      <c r="O58" s="17"/>
    </row>
    <row r="59" spans="1:15" ht="13.5" customHeight="1">
      <c r="A59" s="13" t="s">
        <v>390</v>
      </c>
      <c r="B59" s="2">
        <v>1.75</v>
      </c>
      <c r="C59" s="2">
        <v>0.1</v>
      </c>
      <c r="D59" s="2">
        <v>7.4999999999999997E-2</v>
      </c>
      <c r="E59" s="2">
        <v>0.05</v>
      </c>
      <c r="F59" s="2">
        <v>0.55000000000000004</v>
      </c>
      <c r="G59" s="2">
        <v>4</v>
      </c>
      <c r="H59" s="14">
        <v>4.05</v>
      </c>
      <c r="I59" s="15">
        <v>2500</v>
      </c>
      <c r="J59" s="16">
        <v>5000</v>
      </c>
      <c r="K59" s="3">
        <f>I59*'Currency-Conversion'!$C$10</f>
        <v>7659698624.999999</v>
      </c>
      <c r="L59" s="3">
        <f>J59*'Currency-Conversion'!$C$10</f>
        <v>15319397249.999998</v>
      </c>
      <c r="N59" s="17"/>
      <c r="O59" s="17"/>
    </row>
    <row r="60" spans="1:15" ht="13.5" customHeight="1">
      <c r="A60" s="13" t="s">
        <v>391</v>
      </c>
      <c r="B60" s="2">
        <v>1.8</v>
      </c>
      <c r="C60" s="2">
        <v>0.1</v>
      </c>
      <c r="D60" s="2">
        <v>0.05</v>
      </c>
      <c r="E60" s="2">
        <v>0.05</v>
      </c>
      <c r="F60" s="2">
        <v>1.1000000000000001</v>
      </c>
      <c r="G60" s="2">
        <v>10</v>
      </c>
      <c r="H60" s="14">
        <v>4.95</v>
      </c>
      <c r="I60" s="15">
        <v>2500</v>
      </c>
      <c r="J60" s="16">
        <v>10000</v>
      </c>
      <c r="K60" s="3">
        <f>I60*'Currency-Conversion'!$C$10</f>
        <v>7659698624.999999</v>
      </c>
      <c r="L60" s="3">
        <f>J60*'Currency-Conversion'!$C$10</f>
        <v>30638794499.999996</v>
      </c>
      <c r="N60" s="17"/>
      <c r="O60" s="17"/>
    </row>
    <row r="61" spans="1:15" ht="13.5" customHeight="1">
      <c r="A61" s="13" t="s">
        <v>392</v>
      </c>
      <c r="B61" s="2">
        <v>1.8</v>
      </c>
      <c r="C61" s="2">
        <v>0.1</v>
      </c>
      <c r="D61" s="2">
        <v>0.05</v>
      </c>
      <c r="E61" s="2">
        <v>0.05</v>
      </c>
      <c r="F61" s="2">
        <v>1.35</v>
      </c>
      <c r="G61" s="2">
        <v>12.5</v>
      </c>
      <c r="H61" s="14">
        <v>5.5</v>
      </c>
      <c r="I61" s="15">
        <v>2500</v>
      </c>
      <c r="J61" s="16">
        <v>15000</v>
      </c>
      <c r="K61" s="3">
        <f>I61*'Currency-Conversion'!$C$10</f>
        <v>7659698624.999999</v>
      </c>
      <c r="L61" s="3">
        <f>J61*'Currency-Conversion'!$C$10</f>
        <v>45958191749.999992</v>
      </c>
      <c r="N61" s="17"/>
      <c r="O61" s="17"/>
    </row>
    <row r="62" spans="1:15" ht="13.5" customHeight="1">
      <c r="A62" s="13" t="s">
        <v>393</v>
      </c>
      <c r="B62" s="2">
        <v>1.55</v>
      </c>
      <c r="C62" s="2">
        <v>0.1</v>
      </c>
      <c r="D62" s="2">
        <v>7.4999999999999997E-2</v>
      </c>
      <c r="E62" s="2">
        <v>0.05</v>
      </c>
      <c r="F62" s="2">
        <v>1.55</v>
      </c>
      <c r="G62" s="2">
        <v>14</v>
      </c>
      <c r="H62" s="14">
        <v>5.05</v>
      </c>
      <c r="I62" s="15">
        <v>2500</v>
      </c>
      <c r="J62" s="16">
        <v>10000</v>
      </c>
      <c r="K62" s="3">
        <f>I62*'Currency-Conversion'!$C$10</f>
        <v>7659698624.999999</v>
      </c>
      <c r="L62" s="3">
        <f>J62*'Currency-Conversion'!$C$10</f>
        <v>30638794499.999996</v>
      </c>
      <c r="N62" s="17"/>
      <c r="O62" s="17"/>
    </row>
    <row r="63" spans="1:15" ht="13.5" customHeight="1">
      <c r="A63" s="13" t="s">
        <v>394</v>
      </c>
      <c r="B63" s="2">
        <v>1.85</v>
      </c>
      <c r="C63" s="2">
        <v>0.1</v>
      </c>
      <c r="D63" s="2">
        <v>7.4999999999999997E-2</v>
      </c>
      <c r="E63" s="2">
        <v>0.05</v>
      </c>
      <c r="F63" s="2">
        <v>1.75</v>
      </c>
      <c r="G63" s="2">
        <v>16</v>
      </c>
      <c r="H63" s="14">
        <v>5.75</v>
      </c>
      <c r="I63" s="15">
        <v>2500</v>
      </c>
      <c r="J63" s="16">
        <v>15000</v>
      </c>
      <c r="K63" s="3">
        <f>I63*'Currency-Conversion'!$C$10</f>
        <v>7659698624.999999</v>
      </c>
      <c r="L63" s="3">
        <f>J63*'Currency-Conversion'!$C$10</f>
        <v>45958191749.999992</v>
      </c>
      <c r="N63" s="17"/>
      <c r="O63" s="17"/>
    </row>
    <row r="64" spans="1:15" ht="13.5" customHeight="1">
      <c r="A64" s="13" t="s">
        <v>395</v>
      </c>
      <c r="B64" s="2">
        <v>2</v>
      </c>
      <c r="C64" s="2">
        <v>0.1</v>
      </c>
      <c r="D64" s="2">
        <v>7.4999999999999997E-2</v>
      </c>
      <c r="E64" s="2">
        <v>7.4999999999999997E-2</v>
      </c>
      <c r="F64" s="2">
        <v>1.1000000000000001</v>
      </c>
      <c r="G64" s="2">
        <v>8</v>
      </c>
      <c r="H64" s="14">
        <v>4.95</v>
      </c>
      <c r="I64" s="15">
        <v>2500</v>
      </c>
      <c r="J64" s="16">
        <v>5000</v>
      </c>
      <c r="K64" s="3">
        <f>I64*'Currency-Conversion'!$C$10</f>
        <v>7659698624.999999</v>
      </c>
      <c r="L64" s="3">
        <f>J64*'Currency-Conversion'!$C$10</f>
        <v>15319397249.999998</v>
      </c>
      <c r="N64" s="17"/>
      <c r="O64" s="17"/>
    </row>
    <row r="65" spans="1:15" ht="13.5" customHeight="1">
      <c r="A65" s="13" t="s">
        <v>396</v>
      </c>
      <c r="B65" s="2">
        <v>1.75</v>
      </c>
      <c r="C65" s="2">
        <v>0.1</v>
      </c>
      <c r="D65" s="2">
        <v>7.4999999999999997E-2</v>
      </c>
      <c r="E65" s="2">
        <v>0.05</v>
      </c>
      <c r="F65" s="2">
        <v>0.65</v>
      </c>
      <c r="G65" s="2">
        <v>3.5</v>
      </c>
      <c r="H65" s="14">
        <v>3.85</v>
      </c>
      <c r="I65" s="15">
        <v>1000</v>
      </c>
      <c r="J65" s="16">
        <v>2000</v>
      </c>
      <c r="K65" s="3">
        <f>I65*'Currency-Conversion'!$C$10</f>
        <v>3063879449.9999995</v>
      </c>
      <c r="L65" s="3">
        <f>J65*'Currency-Conversion'!$C$10</f>
        <v>6127758899.999999</v>
      </c>
      <c r="N65" s="17"/>
      <c r="O65" s="17"/>
    </row>
    <row r="66" spans="1:15" ht="13.5" customHeight="1">
      <c r="A66" s="13" t="s">
        <v>397</v>
      </c>
      <c r="B66" s="2">
        <v>1.65</v>
      </c>
      <c r="C66" s="2">
        <v>0.1</v>
      </c>
      <c r="D66" s="2">
        <v>7.4999999999999997E-2</v>
      </c>
      <c r="E66" s="2">
        <v>0.05</v>
      </c>
      <c r="F66" s="2">
        <v>0.55000000000000004</v>
      </c>
      <c r="G66" s="2">
        <v>4</v>
      </c>
      <c r="H66" s="14">
        <v>3.3</v>
      </c>
      <c r="I66" s="15">
        <v>1000</v>
      </c>
      <c r="J66" s="16">
        <v>2000</v>
      </c>
      <c r="K66" s="3">
        <f>I66*'Currency-Conversion'!$C$10</f>
        <v>3063879449.9999995</v>
      </c>
      <c r="L66" s="3">
        <f>J66*'Currency-Conversion'!$C$10</f>
        <v>6127758899.999999</v>
      </c>
      <c r="N66" s="17"/>
      <c r="O66" s="17"/>
    </row>
    <row r="67" spans="1:15" ht="13.5" customHeight="1">
      <c r="A67" s="13" t="s">
        <v>398</v>
      </c>
      <c r="B67" s="2">
        <v>1.75</v>
      </c>
      <c r="C67" s="2">
        <v>7.4999999999999997E-2</v>
      </c>
      <c r="D67" s="2">
        <v>7.4999999999999997E-2</v>
      </c>
      <c r="E67" s="2">
        <v>0.05</v>
      </c>
      <c r="F67" s="2">
        <v>0.9</v>
      </c>
      <c r="G67" s="2">
        <v>5</v>
      </c>
      <c r="H67" s="14">
        <v>3.85</v>
      </c>
      <c r="I67" s="15">
        <v>1000</v>
      </c>
      <c r="J67" s="16">
        <v>2000</v>
      </c>
      <c r="K67" s="3">
        <f>I67*'Currency-Conversion'!$C$10</f>
        <v>3063879449.9999995</v>
      </c>
      <c r="L67" s="3">
        <f>J67*'Currency-Conversion'!$C$10</f>
        <v>6127758899.999999</v>
      </c>
      <c r="N67" s="17"/>
      <c r="O67" s="17"/>
    </row>
    <row r="68" spans="1:15" ht="13.5" customHeight="1">
      <c r="A68" s="13" t="s">
        <v>399</v>
      </c>
      <c r="B68" s="2">
        <v>1.6</v>
      </c>
      <c r="C68" s="2">
        <v>7.4999999999999997E-2</v>
      </c>
      <c r="D68" s="2">
        <v>7.4999999999999997E-2</v>
      </c>
      <c r="E68" s="2">
        <v>0.05</v>
      </c>
      <c r="F68" s="2">
        <v>0.65</v>
      </c>
      <c r="G68" s="2">
        <v>3.5</v>
      </c>
      <c r="H68" s="14">
        <v>3.3</v>
      </c>
      <c r="I68" s="15">
        <v>1000</v>
      </c>
      <c r="J68" s="16">
        <v>2000</v>
      </c>
      <c r="K68" s="3">
        <f>I68*'Currency-Conversion'!$C$10</f>
        <v>3063879449.9999995</v>
      </c>
      <c r="L68" s="3">
        <f>J68*'Currency-Conversion'!$C$10</f>
        <v>6127758899.999999</v>
      </c>
      <c r="N68" s="17"/>
      <c r="O68" s="17"/>
    </row>
    <row r="69" spans="1:15" ht="13.5" customHeight="1">
      <c r="A69" s="13" t="s">
        <v>400</v>
      </c>
      <c r="B69" s="2">
        <v>1.55</v>
      </c>
      <c r="C69" s="2">
        <v>0.1</v>
      </c>
      <c r="D69" s="2">
        <v>7.4999999999999997E-2</v>
      </c>
      <c r="E69" s="2">
        <v>0.05</v>
      </c>
      <c r="F69" s="2">
        <v>0.5</v>
      </c>
      <c r="G69" s="2">
        <v>3.5</v>
      </c>
      <c r="H69" s="14">
        <v>3</v>
      </c>
      <c r="I69" s="15">
        <v>1000</v>
      </c>
      <c r="J69" s="16">
        <v>2000</v>
      </c>
      <c r="K69" s="3">
        <f>I69*'Currency-Conversion'!$C$10</f>
        <v>3063879449.9999995</v>
      </c>
      <c r="L69" s="3">
        <f>J69*'Currency-Conversion'!$C$10</f>
        <v>6127758899.999999</v>
      </c>
      <c r="N69" s="17"/>
      <c r="O69" s="17"/>
    </row>
    <row r="70" spans="1:15" ht="13.5" customHeight="1">
      <c r="A70" s="13" t="s">
        <v>401</v>
      </c>
      <c r="B70" s="2">
        <v>1.65</v>
      </c>
      <c r="C70" s="2">
        <v>7.4999999999999997E-2</v>
      </c>
      <c r="D70" s="2">
        <v>7.4999999999999997E-2</v>
      </c>
      <c r="E70" s="2">
        <v>0.05</v>
      </c>
      <c r="F70" s="2">
        <v>0.5</v>
      </c>
      <c r="G70" s="2">
        <v>3</v>
      </c>
      <c r="H70" s="14">
        <v>3.3</v>
      </c>
      <c r="I70" s="15">
        <v>1000</v>
      </c>
      <c r="J70" s="16">
        <v>2000</v>
      </c>
      <c r="K70" s="3">
        <f>I70*'Currency-Conversion'!$C$10</f>
        <v>3063879449.9999995</v>
      </c>
      <c r="L70" s="3">
        <f>J70*'Currency-Conversion'!$C$10</f>
        <v>6127758899.999999</v>
      </c>
      <c r="N70" s="17"/>
      <c r="O70" s="17"/>
    </row>
    <row r="71" spans="1:15" ht="27.75" customHeight="1">
      <c r="A71" s="13" t="s">
        <v>402</v>
      </c>
      <c r="B71" s="2">
        <v>1.6</v>
      </c>
      <c r="C71" s="2">
        <v>0.15</v>
      </c>
      <c r="D71" s="2">
        <v>0.1</v>
      </c>
      <c r="E71" s="2">
        <v>0.05</v>
      </c>
      <c r="F71" s="2">
        <v>0.65</v>
      </c>
      <c r="G71" s="2">
        <v>6</v>
      </c>
      <c r="H71" s="14">
        <v>4.95</v>
      </c>
      <c r="I71" s="15">
        <v>5000</v>
      </c>
      <c r="J71" s="16">
        <v>10000</v>
      </c>
      <c r="K71" s="3">
        <f>I71*'Currency-Conversion'!$C$10</f>
        <v>15319397249.999998</v>
      </c>
      <c r="L71" s="3">
        <f>J71*'Currency-Conversion'!$C$10</f>
        <v>30638794499.999996</v>
      </c>
      <c r="N71" s="17"/>
      <c r="O71" s="17"/>
    </row>
    <row r="72" spans="1:15" ht="13.5" customHeight="1">
      <c r="A72" s="13" t="s">
        <v>403</v>
      </c>
      <c r="B72" s="2">
        <v>1.8</v>
      </c>
      <c r="C72" s="2">
        <v>0.1</v>
      </c>
      <c r="D72" s="2">
        <v>7.4999999999999997E-2</v>
      </c>
      <c r="E72" s="2">
        <v>7.4999999999999997E-2</v>
      </c>
      <c r="F72" s="2">
        <v>1.3</v>
      </c>
      <c r="G72" s="2">
        <v>15</v>
      </c>
      <c r="H72" s="14">
        <v>5.5</v>
      </c>
      <c r="I72" s="15">
        <v>5000</v>
      </c>
      <c r="J72" s="16">
        <v>10000</v>
      </c>
      <c r="K72" s="3">
        <f>I72*'Currency-Conversion'!$C$10</f>
        <v>15319397249.999998</v>
      </c>
      <c r="L72" s="3">
        <f>J72*'Currency-Conversion'!$C$10</f>
        <v>30638794499.999996</v>
      </c>
      <c r="N72" s="17"/>
      <c r="O72" s="17"/>
    </row>
    <row r="73" spans="1:15" ht="13.5" customHeight="1">
      <c r="A73" s="13" t="s">
        <v>404</v>
      </c>
      <c r="B73" s="2">
        <v>1.45</v>
      </c>
      <c r="C73" s="2">
        <v>7.4999999999999997E-2</v>
      </c>
      <c r="D73" s="2">
        <v>0.05</v>
      </c>
      <c r="E73" s="2">
        <v>0.05</v>
      </c>
      <c r="F73" s="2">
        <v>0.65</v>
      </c>
      <c r="G73" s="2">
        <v>4.5</v>
      </c>
      <c r="H73" s="14">
        <v>3.3</v>
      </c>
      <c r="I73" s="15">
        <v>2500</v>
      </c>
      <c r="J73" s="16">
        <v>5000</v>
      </c>
      <c r="K73" s="3">
        <f>I73*'Currency-Conversion'!$C$10</f>
        <v>7659698624.999999</v>
      </c>
      <c r="L73" s="3">
        <f>J73*'Currency-Conversion'!$C$10</f>
        <v>15319397249.999998</v>
      </c>
      <c r="N73" s="17"/>
      <c r="O73" s="17"/>
    </row>
    <row r="74" spans="1:15" ht="13.5" customHeight="1">
      <c r="A74" s="13" t="s">
        <v>405</v>
      </c>
      <c r="B74" s="2">
        <v>1.55</v>
      </c>
      <c r="C74" s="2">
        <v>0.1</v>
      </c>
      <c r="D74" s="2">
        <v>0.05</v>
      </c>
      <c r="E74" s="2">
        <v>0.05</v>
      </c>
      <c r="F74" s="2">
        <v>0.65</v>
      </c>
      <c r="G74" s="2">
        <v>4.5</v>
      </c>
      <c r="H74" s="14">
        <v>3.85</v>
      </c>
      <c r="I74" s="15">
        <v>2500</v>
      </c>
      <c r="J74" s="16">
        <v>5000</v>
      </c>
      <c r="K74" s="3">
        <f>I74*'Currency-Conversion'!$C$10</f>
        <v>7659698624.999999</v>
      </c>
      <c r="L74" s="3">
        <f>J74*'Currency-Conversion'!$C$10</f>
        <v>15319397249.999998</v>
      </c>
      <c r="N74" s="17"/>
      <c r="O74" s="17"/>
    </row>
    <row r="75" spans="1:15" ht="13.5" customHeight="1">
      <c r="A75" s="13" t="s">
        <v>406</v>
      </c>
      <c r="B75" s="2">
        <v>1.65</v>
      </c>
      <c r="C75" s="2">
        <v>0.1</v>
      </c>
      <c r="D75" s="2">
        <v>0.05</v>
      </c>
      <c r="E75" s="2">
        <v>0.05</v>
      </c>
      <c r="F75" s="2">
        <v>0.55000000000000004</v>
      </c>
      <c r="G75" s="2">
        <v>3</v>
      </c>
      <c r="H75" s="14">
        <v>3.85</v>
      </c>
      <c r="I75" s="15">
        <v>2500</v>
      </c>
      <c r="J75" s="16">
        <v>10000</v>
      </c>
      <c r="K75" s="3">
        <f>I75*'Currency-Conversion'!$C$10</f>
        <v>7659698624.999999</v>
      </c>
      <c r="L75" s="3">
        <f>J75*'Currency-Conversion'!$C$10</f>
        <v>30638794499.999996</v>
      </c>
      <c r="N75" s="17"/>
      <c r="O75" s="17"/>
    </row>
    <row r="76" spans="1:15" ht="13.5" customHeight="1">
      <c r="A76" s="13" t="s">
        <v>407</v>
      </c>
      <c r="B76" s="2">
        <v>1.8</v>
      </c>
      <c r="C76" s="2">
        <v>0.1</v>
      </c>
      <c r="D76" s="2">
        <v>0.05</v>
      </c>
      <c r="E76" s="2">
        <v>0.05</v>
      </c>
      <c r="F76" s="2">
        <v>0.65</v>
      </c>
      <c r="G76" s="2">
        <v>3.5</v>
      </c>
      <c r="H76" s="14">
        <v>4.25</v>
      </c>
      <c r="I76" s="15">
        <v>2500</v>
      </c>
      <c r="J76" s="16">
        <v>25000</v>
      </c>
      <c r="K76" s="3">
        <f>I76*'Currency-Conversion'!$C$10</f>
        <v>7659698624.999999</v>
      </c>
      <c r="L76" s="3">
        <f>J76*'Currency-Conversion'!$C$10</f>
        <v>76596986250</v>
      </c>
      <c r="N76" s="17"/>
      <c r="O76" s="17"/>
    </row>
    <row r="77" spans="1:15" ht="13.5" customHeight="1">
      <c r="A77" s="13" t="s">
        <v>408</v>
      </c>
      <c r="B77" s="2">
        <v>1.6</v>
      </c>
      <c r="C77" s="2">
        <v>0.1</v>
      </c>
      <c r="D77" s="2">
        <v>0.05</v>
      </c>
      <c r="E77" s="2">
        <v>0.05</v>
      </c>
      <c r="F77" s="2">
        <v>0.55000000000000004</v>
      </c>
      <c r="G77" s="2">
        <v>3</v>
      </c>
      <c r="H77" s="14">
        <v>3.6</v>
      </c>
      <c r="I77" s="15">
        <v>2500</v>
      </c>
      <c r="J77" s="16">
        <v>10000</v>
      </c>
      <c r="K77" s="3">
        <f>I77*'Currency-Conversion'!$C$10</f>
        <v>7659698624.999999</v>
      </c>
      <c r="L77" s="3">
        <f>J77*'Currency-Conversion'!$C$10</f>
        <v>30638794499.999996</v>
      </c>
      <c r="N77" s="17"/>
      <c r="O77" s="17"/>
    </row>
    <row r="78" spans="1:15" ht="13.5" customHeight="1">
      <c r="A78" s="13" t="s">
        <v>409</v>
      </c>
      <c r="B78" s="2">
        <v>1.6</v>
      </c>
      <c r="C78" s="2">
        <v>0.1</v>
      </c>
      <c r="D78" s="2">
        <v>0.05</v>
      </c>
      <c r="E78" s="2">
        <v>0.05</v>
      </c>
      <c r="F78" s="2">
        <v>0.55000000000000004</v>
      </c>
      <c r="G78" s="2">
        <v>3.5</v>
      </c>
      <c r="H78" s="14">
        <v>3.6</v>
      </c>
      <c r="I78" s="15">
        <v>2500</v>
      </c>
      <c r="J78" s="16">
        <v>10000</v>
      </c>
      <c r="K78" s="3">
        <f>I78*'Currency-Conversion'!$C$10</f>
        <v>7659698624.999999</v>
      </c>
      <c r="L78" s="3">
        <f>J78*'Currency-Conversion'!$C$10</f>
        <v>30638794499.999996</v>
      </c>
      <c r="N78" s="17"/>
      <c r="O78" s="17"/>
    </row>
    <row r="79" spans="1:15" ht="13.5" customHeight="1">
      <c r="A79" s="13" t="s">
        <v>410</v>
      </c>
      <c r="B79" s="2">
        <v>1.5</v>
      </c>
      <c r="C79" s="2">
        <v>0.1</v>
      </c>
      <c r="D79" s="2">
        <v>0.05</v>
      </c>
      <c r="E79" s="2">
        <v>0.05</v>
      </c>
      <c r="F79" s="2">
        <v>0.45</v>
      </c>
      <c r="G79" s="2">
        <v>2.5</v>
      </c>
      <c r="H79" s="14">
        <v>3.3</v>
      </c>
      <c r="I79" s="15">
        <v>2500</v>
      </c>
      <c r="J79" s="16">
        <v>5000</v>
      </c>
      <c r="K79" s="3">
        <f>I79*'Currency-Conversion'!$C$10</f>
        <v>7659698624.999999</v>
      </c>
      <c r="L79" s="3">
        <f>J79*'Currency-Conversion'!$C$10</f>
        <v>15319397249.999998</v>
      </c>
      <c r="N79" s="17"/>
      <c r="O79" s="17"/>
    </row>
    <row r="80" spans="1:15" ht="13.5" customHeight="1">
      <c r="A80" s="13" t="s">
        <v>411</v>
      </c>
      <c r="B80" s="2">
        <v>1.65</v>
      </c>
      <c r="C80" s="2">
        <v>0.1</v>
      </c>
      <c r="D80" s="2">
        <v>0.05</v>
      </c>
      <c r="E80" s="2">
        <v>0.05</v>
      </c>
      <c r="F80" s="2">
        <v>0.55000000000000004</v>
      </c>
      <c r="G80" s="2">
        <v>3.5</v>
      </c>
      <c r="H80" s="14">
        <v>3.85</v>
      </c>
      <c r="I80" s="15">
        <v>2500</v>
      </c>
      <c r="J80" s="16">
        <v>10000</v>
      </c>
      <c r="K80" s="3">
        <f>I80*'Currency-Conversion'!$C$10</f>
        <v>7659698624.999999</v>
      </c>
      <c r="L80" s="3">
        <f>J80*'Currency-Conversion'!$C$10</f>
        <v>30638794499.999996</v>
      </c>
      <c r="N80" s="17"/>
      <c r="O80" s="17"/>
    </row>
    <row r="81" spans="1:15" ht="13.5" customHeight="1">
      <c r="A81" s="13" t="s">
        <v>412</v>
      </c>
      <c r="B81" s="2">
        <v>1.8</v>
      </c>
      <c r="C81" s="2">
        <v>0.1</v>
      </c>
      <c r="D81" s="2">
        <v>0.05</v>
      </c>
      <c r="E81" s="2">
        <v>0.05</v>
      </c>
      <c r="F81" s="2">
        <v>0.55000000000000004</v>
      </c>
      <c r="G81" s="2">
        <v>4</v>
      </c>
      <c r="H81" s="14">
        <v>4.3</v>
      </c>
      <c r="I81" s="15">
        <v>2500</v>
      </c>
      <c r="J81" s="16">
        <v>10000</v>
      </c>
      <c r="K81" s="3">
        <f>I81*'Currency-Conversion'!$C$10</f>
        <v>7659698624.999999</v>
      </c>
      <c r="L81" s="3">
        <f>J81*'Currency-Conversion'!$C$10</f>
        <v>30638794499.999996</v>
      </c>
      <c r="N81" s="17"/>
      <c r="O81" s="17"/>
    </row>
    <row r="82" spans="1:15" ht="13.5" customHeight="1">
      <c r="A82" s="13" t="s">
        <v>413</v>
      </c>
      <c r="B82" s="2">
        <v>1.6</v>
      </c>
      <c r="C82" s="2">
        <v>0.1</v>
      </c>
      <c r="D82" s="2">
        <v>0.05</v>
      </c>
      <c r="E82" s="2">
        <v>0.05</v>
      </c>
      <c r="F82" s="2">
        <v>0.55000000000000004</v>
      </c>
      <c r="G82" s="2">
        <v>3.5</v>
      </c>
      <c r="H82" s="14">
        <v>3.65</v>
      </c>
      <c r="I82" s="15">
        <v>2500</v>
      </c>
      <c r="J82" s="16">
        <v>10000</v>
      </c>
      <c r="K82" s="3">
        <f>I82*'Currency-Conversion'!$C$10</f>
        <v>7659698624.999999</v>
      </c>
      <c r="L82" s="3">
        <f>J82*'Currency-Conversion'!$C$10</f>
        <v>30638794499.999996</v>
      </c>
      <c r="N82" s="17"/>
      <c r="O82" s="17"/>
    </row>
    <row r="83" spans="1:15" ht="13.5" customHeight="1">
      <c r="A83" s="13" t="s">
        <v>414</v>
      </c>
      <c r="B83" s="2">
        <v>1.6</v>
      </c>
      <c r="C83" s="2">
        <v>0.1</v>
      </c>
      <c r="D83" s="2">
        <v>0.05</v>
      </c>
      <c r="E83" s="2">
        <v>0.05</v>
      </c>
      <c r="F83" s="2">
        <v>0.55000000000000004</v>
      </c>
      <c r="G83" s="2">
        <v>3.5</v>
      </c>
      <c r="H83" s="14">
        <v>3.65</v>
      </c>
      <c r="I83" s="15">
        <v>2500</v>
      </c>
      <c r="J83" s="16">
        <v>10000</v>
      </c>
      <c r="K83" s="3">
        <f>I83*'Currency-Conversion'!$C$10</f>
        <v>7659698624.999999</v>
      </c>
      <c r="L83" s="3">
        <f>J83*'Currency-Conversion'!$C$10</f>
        <v>30638794499.999996</v>
      </c>
      <c r="N83" s="17"/>
      <c r="O83" s="17"/>
    </row>
    <row r="84" spans="1:15" ht="13.5" customHeight="1">
      <c r="A84" s="13" t="s">
        <v>415</v>
      </c>
      <c r="B84" s="2">
        <v>1.5</v>
      </c>
      <c r="C84" s="2">
        <v>0.05</v>
      </c>
      <c r="D84" s="2">
        <v>0.05</v>
      </c>
      <c r="E84" s="2">
        <v>0.05</v>
      </c>
      <c r="F84" s="2">
        <v>0.45</v>
      </c>
      <c r="G84" s="2">
        <v>2.5</v>
      </c>
      <c r="H84" s="14">
        <v>3.3</v>
      </c>
      <c r="I84" s="15">
        <v>2500</v>
      </c>
      <c r="J84" s="16">
        <v>5000</v>
      </c>
      <c r="K84" s="3">
        <f>I84*'Currency-Conversion'!$C$10</f>
        <v>7659698624.999999</v>
      </c>
      <c r="L84" s="3">
        <f>J84*'Currency-Conversion'!$C$10</f>
        <v>15319397249.999998</v>
      </c>
      <c r="N84" s="17"/>
      <c r="O84" s="17"/>
    </row>
    <row r="85" spans="1:15" ht="13.5" customHeight="1">
      <c r="A85" s="13" t="s">
        <v>416</v>
      </c>
      <c r="B85" s="2">
        <v>1.45</v>
      </c>
      <c r="C85" s="2">
        <v>7.4999999999999997E-2</v>
      </c>
      <c r="D85" s="2">
        <v>0.05</v>
      </c>
      <c r="E85" s="2">
        <v>0.05</v>
      </c>
      <c r="F85" s="2">
        <v>0.45</v>
      </c>
      <c r="G85" s="2">
        <v>3.5</v>
      </c>
      <c r="H85" s="14">
        <v>3.1</v>
      </c>
      <c r="I85" s="15">
        <v>2500</v>
      </c>
      <c r="J85" s="16">
        <v>5000</v>
      </c>
      <c r="K85" s="3">
        <f>I85*'Currency-Conversion'!$C$10</f>
        <v>7659698624.999999</v>
      </c>
      <c r="L85" s="3">
        <f>J85*'Currency-Conversion'!$C$10</f>
        <v>15319397249.999998</v>
      </c>
      <c r="N85" s="17"/>
      <c r="O85" s="17"/>
    </row>
    <row r="86" spans="1:15" ht="13.5" customHeight="1">
      <c r="A86" s="13" t="s">
        <v>417</v>
      </c>
      <c r="B86" s="2">
        <v>1.45</v>
      </c>
      <c r="C86" s="2">
        <v>7.4999999999999997E-2</v>
      </c>
      <c r="D86" s="2">
        <v>0.05</v>
      </c>
      <c r="E86" s="2">
        <v>0.05</v>
      </c>
      <c r="F86" s="2">
        <v>0.45</v>
      </c>
      <c r="G86" s="2">
        <v>3.5</v>
      </c>
      <c r="H86" s="14">
        <v>3.5</v>
      </c>
      <c r="I86" s="15">
        <v>2500</v>
      </c>
      <c r="J86" s="16">
        <v>5000</v>
      </c>
      <c r="K86" s="3">
        <f>I86*'Currency-Conversion'!$C$10</f>
        <v>7659698624.999999</v>
      </c>
      <c r="L86" s="3">
        <f>J86*'Currency-Conversion'!$C$10</f>
        <v>15319397249.999998</v>
      </c>
      <c r="N86" s="17"/>
      <c r="O86" s="17"/>
    </row>
    <row r="87" spans="1:15" ht="13.5" customHeight="1">
      <c r="A87" s="13" t="s">
        <v>418</v>
      </c>
      <c r="B87" s="2">
        <v>1.55</v>
      </c>
      <c r="C87" s="2">
        <v>7.4999999999999997E-2</v>
      </c>
      <c r="D87" s="2">
        <v>0.05</v>
      </c>
      <c r="E87" s="2">
        <v>0.05</v>
      </c>
      <c r="F87" s="2">
        <v>0.55000000000000004</v>
      </c>
      <c r="G87" s="2">
        <v>3.5</v>
      </c>
      <c r="H87" s="14">
        <v>3.4</v>
      </c>
      <c r="I87" s="15">
        <v>2500</v>
      </c>
      <c r="J87" s="16">
        <v>12500</v>
      </c>
      <c r="K87" s="3">
        <f>I87*'Currency-Conversion'!$C$10</f>
        <v>7659698624.999999</v>
      </c>
      <c r="L87" s="3">
        <f>J87*'Currency-Conversion'!$C$10</f>
        <v>38298493125</v>
      </c>
      <c r="N87" s="17"/>
      <c r="O87" s="17"/>
    </row>
    <row r="88" spans="1:15" ht="13.5" customHeight="1">
      <c r="A88" s="13" t="s">
        <v>419</v>
      </c>
      <c r="B88" s="2">
        <v>1.5</v>
      </c>
      <c r="C88" s="2">
        <v>0.1</v>
      </c>
      <c r="D88" s="2">
        <v>0.05</v>
      </c>
      <c r="E88" s="2">
        <v>0.05</v>
      </c>
      <c r="F88" s="2">
        <v>0.45</v>
      </c>
      <c r="G88" s="2">
        <v>2.5</v>
      </c>
      <c r="H88" s="14">
        <v>3.1</v>
      </c>
      <c r="I88" s="15">
        <v>1000</v>
      </c>
      <c r="J88" s="16">
        <v>2500</v>
      </c>
      <c r="K88" s="3">
        <f>I88*'Currency-Conversion'!$C$10</f>
        <v>3063879449.9999995</v>
      </c>
      <c r="L88" s="3">
        <f>J88*'Currency-Conversion'!$C$10</f>
        <v>7659698624.999999</v>
      </c>
      <c r="N88" s="17"/>
      <c r="O88" s="17"/>
    </row>
    <row r="89" spans="1:15" ht="13.5" customHeight="1">
      <c r="A89" s="13" t="s">
        <v>420</v>
      </c>
      <c r="B89" s="2">
        <v>1.9</v>
      </c>
      <c r="C89" s="2">
        <v>0.1</v>
      </c>
      <c r="D89" s="2">
        <v>7.4999999999999997E-2</v>
      </c>
      <c r="E89" s="2">
        <v>7.4999999999999997E-2</v>
      </c>
      <c r="F89" s="2">
        <v>0.35</v>
      </c>
      <c r="G89" s="2">
        <v>3</v>
      </c>
      <c r="H89" s="14">
        <v>3.5</v>
      </c>
      <c r="I89" s="15">
        <v>5000</v>
      </c>
      <c r="J89" s="16">
        <v>5000</v>
      </c>
      <c r="K89" s="3">
        <f>I89*'Currency-Conversion'!$C$10</f>
        <v>15319397249.999998</v>
      </c>
      <c r="L89" s="3">
        <f>J89*'Currency-Conversion'!$C$10</f>
        <v>15319397249.999998</v>
      </c>
      <c r="N89" s="17"/>
      <c r="O89" s="17"/>
    </row>
    <row r="90" spans="1:15" ht="13.5" customHeight="1">
      <c r="A90" s="13" t="s">
        <v>421</v>
      </c>
      <c r="B90" s="2">
        <v>1.8</v>
      </c>
      <c r="C90" s="2">
        <v>0.15</v>
      </c>
      <c r="D90" s="2">
        <v>7.4999999999999997E-2</v>
      </c>
      <c r="E90" s="2">
        <v>7.4999999999999997E-2</v>
      </c>
      <c r="F90" s="2">
        <v>1.1000000000000001</v>
      </c>
      <c r="G90" s="2">
        <v>8</v>
      </c>
      <c r="H90" s="14">
        <v>4.95</v>
      </c>
      <c r="I90" s="15">
        <v>2500</v>
      </c>
      <c r="J90" s="16">
        <v>10000</v>
      </c>
      <c r="K90" s="3">
        <f>I90*'Currency-Conversion'!$C$10</f>
        <v>7659698624.999999</v>
      </c>
      <c r="L90" s="3">
        <f>J90*'Currency-Conversion'!$C$10</f>
        <v>30638794499.999996</v>
      </c>
      <c r="N90" s="17"/>
      <c r="O90" s="17"/>
    </row>
    <row r="91" spans="1:15" ht="13.5" customHeight="1">
      <c r="A91" s="13" t="s">
        <v>422</v>
      </c>
      <c r="B91" s="2">
        <v>1.7</v>
      </c>
      <c r="C91" s="2">
        <v>0.15</v>
      </c>
      <c r="D91" s="2">
        <v>7.4999999999999997E-2</v>
      </c>
      <c r="E91" s="2">
        <v>7.4999999999999997E-2</v>
      </c>
      <c r="F91" s="2">
        <v>0.9</v>
      </c>
      <c r="G91" s="2">
        <v>6</v>
      </c>
      <c r="H91" s="14">
        <v>4.5999999999999996</v>
      </c>
      <c r="I91" s="15">
        <v>2500</v>
      </c>
      <c r="J91" s="16">
        <v>10000</v>
      </c>
      <c r="K91" s="3">
        <f>I91*'Currency-Conversion'!$C$10</f>
        <v>7659698624.999999</v>
      </c>
      <c r="L91" s="3">
        <f>J91*'Currency-Conversion'!$C$10</f>
        <v>30638794499.999996</v>
      </c>
      <c r="N91" s="17"/>
      <c r="O91" s="17"/>
    </row>
    <row r="92" spans="1:15" ht="13.5" customHeight="1">
      <c r="A92" s="13" t="s">
        <v>423</v>
      </c>
      <c r="B92" s="2">
        <v>1.65</v>
      </c>
      <c r="C92" s="2">
        <v>0.1</v>
      </c>
      <c r="D92" s="2">
        <v>7.4999999999999997E-2</v>
      </c>
      <c r="E92" s="2">
        <v>7.4999999999999997E-2</v>
      </c>
      <c r="F92" s="2">
        <v>0.65</v>
      </c>
      <c r="G92" s="2">
        <v>4</v>
      </c>
      <c r="H92" s="14">
        <v>3.85</v>
      </c>
      <c r="I92" s="15">
        <v>2500</v>
      </c>
      <c r="J92" s="16">
        <v>5000</v>
      </c>
      <c r="K92" s="3">
        <f>I92*'Currency-Conversion'!$C$10</f>
        <v>7659698624.999999</v>
      </c>
      <c r="L92" s="3">
        <f>J92*'Currency-Conversion'!$C$10</f>
        <v>15319397249.999998</v>
      </c>
      <c r="N92" s="17"/>
      <c r="O92" s="17"/>
    </row>
    <row r="93" spans="1:15" ht="13.5" customHeight="1">
      <c r="A93" s="13" t="s">
        <v>424</v>
      </c>
      <c r="B93" s="2">
        <v>1.65</v>
      </c>
      <c r="C93" s="2">
        <v>0.1</v>
      </c>
      <c r="D93" s="2">
        <v>7.4999999999999997E-2</v>
      </c>
      <c r="E93" s="2">
        <v>0.05</v>
      </c>
      <c r="F93" s="2">
        <v>0.85</v>
      </c>
      <c r="G93" s="2">
        <v>4</v>
      </c>
      <c r="H93" s="14">
        <v>4.4000000000000004</v>
      </c>
      <c r="I93" s="15">
        <v>5000</v>
      </c>
      <c r="J93" s="16">
        <v>20000</v>
      </c>
      <c r="K93" s="3">
        <f>I93*'Currency-Conversion'!$C$10</f>
        <v>15319397249.999998</v>
      </c>
      <c r="L93" s="3">
        <f>J93*'Currency-Conversion'!$C$10</f>
        <v>61277588999.999992</v>
      </c>
      <c r="N93" s="17"/>
      <c r="O93" s="17"/>
    </row>
    <row r="94" spans="1:15" ht="13.5" customHeight="1">
      <c r="A94" s="13" t="s">
        <v>425</v>
      </c>
      <c r="B94" s="2">
        <v>1.6</v>
      </c>
      <c r="C94" s="2">
        <v>7.4999999999999997E-2</v>
      </c>
      <c r="D94" s="2">
        <v>0.05</v>
      </c>
      <c r="E94" s="2">
        <v>0.05</v>
      </c>
      <c r="F94" s="2">
        <v>0.65</v>
      </c>
      <c r="G94" s="2">
        <v>3</v>
      </c>
      <c r="H94" s="14">
        <v>3.85</v>
      </c>
      <c r="I94" s="15">
        <v>2500</v>
      </c>
      <c r="J94" s="16">
        <v>10000</v>
      </c>
      <c r="K94" s="3">
        <f>I94*'Currency-Conversion'!$C$10</f>
        <v>7659698624.999999</v>
      </c>
      <c r="L94" s="3">
        <f>J94*'Currency-Conversion'!$C$10</f>
        <v>30638794499.999996</v>
      </c>
      <c r="N94" s="17"/>
      <c r="O94" s="17"/>
    </row>
    <row r="95" spans="1:15" ht="13.5" customHeight="1">
      <c r="A95" s="13" t="s">
        <v>426</v>
      </c>
      <c r="B95" s="2">
        <v>1.55</v>
      </c>
      <c r="C95" s="2">
        <v>7.4999999999999997E-2</v>
      </c>
      <c r="D95" s="2">
        <v>0.05</v>
      </c>
      <c r="E95" s="2">
        <v>0.05</v>
      </c>
      <c r="F95" s="2">
        <v>0.85</v>
      </c>
      <c r="G95" s="2">
        <v>3</v>
      </c>
      <c r="H95" s="14">
        <v>3.85</v>
      </c>
      <c r="I95" s="15">
        <v>2500</v>
      </c>
      <c r="J95" s="16">
        <v>5000</v>
      </c>
      <c r="K95" s="3">
        <f>I95*'Currency-Conversion'!$C$10</f>
        <v>7659698624.999999</v>
      </c>
      <c r="L95" s="3">
        <f>J95*'Currency-Conversion'!$C$10</f>
        <v>15319397249.999998</v>
      </c>
      <c r="N95" s="17"/>
      <c r="O95" s="17"/>
    </row>
    <row r="96" spans="1:15" ht="13.5" customHeight="1">
      <c r="A96" s="13" t="s">
        <v>427</v>
      </c>
      <c r="B96" s="2">
        <v>1.55</v>
      </c>
      <c r="C96" s="2">
        <v>7.4999999999999997E-2</v>
      </c>
      <c r="D96" s="2">
        <v>0.05</v>
      </c>
      <c r="E96" s="2">
        <v>0.05</v>
      </c>
      <c r="F96" s="2">
        <v>0.45</v>
      </c>
      <c r="G96" s="2">
        <v>3.5</v>
      </c>
      <c r="H96" s="14">
        <v>3.3</v>
      </c>
      <c r="I96" s="15">
        <v>2500</v>
      </c>
      <c r="J96" s="16">
        <v>5000</v>
      </c>
      <c r="K96" s="3">
        <f>I96*'Currency-Conversion'!$C$10</f>
        <v>7659698624.999999</v>
      </c>
      <c r="L96" s="3">
        <f>J96*'Currency-Conversion'!$C$10</f>
        <v>15319397249.999998</v>
      </c>
      <c r="N96" s="17"/>
      <c r="O96" s="17"/>
    </row>
    <row r="97" spans="1:15" ht="13.5" customHeight="1">
      <c r="A97" s="13" t="s">
        <v>428</v>
      </c>
      <c r="B97" s="2">
        <v>1.5</v>
      </c>
      <c r="C97" s="2">
        <v>7.4999999999999997E-2</v>
      </c>
      <c r="D97" s="2">
        <v>0.05</v>
      </c>
      <c r="E97" s="2">
        <v>2.5000000000000001E-2</v>
      </c>
      <c r="F97" s="2">
        <v>0.45</v>
      </c>
      <c r="G97" s="2">
        <v>3</v>
      </c>
      <c r="H97" s="14">
        <v>3.1</v>
      </c>
      <c r="I97" s="15">
        <v>2500</v>
      </c>
      <c r="J97" s="16">
        <v>5000</v>
      </c>
      <c r="K97" s="3">
        <f>I97*'Currency-Conversion'!$C$10</f>
        <v>7659698624.999999</v>
      </c>
      <c r="L97" s="3">
        <f>J97*'Currency-Conversion'!$C$10</f>
        <v>15319397249.999998</v>
      </c>
      <c r="N97" s="17"/>
      <c r="O97" s="17"/>
    </row>
    <row r="98" spans="1:15" ht="13.5" customHeight="1">
      <c r="A98" s="13" t="s">
        <v>429</v>
      </c>
      <c r="B98" s="2">
        <v>1.4</v>
      </c>
      <c r="C98" s="2">
        <v>7.4999999999999997E-2</v>
      </c>
      <c r="D98" s="2">
        <v>0.05</v>
      </c>
      <c r="E98" s="2">
        <v>0.05</v>
      </c>
      <c r="F98" s="2">
        <v>0.35</v>
      </c>
      <c r="G98" s="2">
        <v>2.5</v>
      </c>
      <c r="H98" s="14">
        <v>2.75</v>
      </c>
      <c r="I98" s="15">
        <v>1000</v>
      </c>
      <c r="J98" s="16">
        <v>2000</v>
      </c>
      <c r="K98" s="3">
        <f>I98*'Currency-Conversion'!$C$10</f>
        <v>3063879449.9999995</v>
      </c>
      <c r="L98" s="3">
        <f>J98*'Currency-Conversion'!$C$10</f>
        <v>6127758899.999999</v>
      </c>
      <c r="N98" s="17"/>
      <c r="O98" s="17"/>
    </row>
    <row r="99" spans="1:15" ht="13.5" customHeight="1">
      <c r="A99" s="13" t="s">
        <v>430</v>
      </c>
      <c r="B99" s="2">
        <v>1.55</v>
      </c>
      <c r="C99" s="2">
        <v>7.4999999999999997E-2</v>
      </c>
      <c r="D99" s="2">
        <v>0.05</v>
      </c>
      <c r="E99" s="2">
        <v>0.05</v>
      </c>
      <c r="F99" s="2">
        <v>0.45</v>
      </c>
      <c r="G99" s="2">
        <v>3</v>
      </c>
      <c r="H99" s="14">
        <v>3.3</v>
      </c>
      <c r="I99" s="15">
        <v>1000</v>
      </c>
      <c r="J99" s="16">
        <v>2000</v>
      </c>
      <c r="K99" s="3">
        <f>I99*'Currency-Conversion'!$C$10</f>
        <v>3063879449.9999995</v>
      </c>
      <c r="L99" s="3">
        <f>J99*'Currency-Conversion'!$C$10</f>
        <v>6127758899.999999</v>
      </c>
      <c r="N99" s="17"/>
      <c r="O99" s="17"/>
    </row>
    <row r="100" spans="1:15" ht="13.5" customHeight="1">
      <c r="A100" s="13" t="s">
        <v>431</v>
      </c>
      <c r="B100" s="2">
        <v>1.4</v>
      </c>
      <c r="C100" s="2">
        <v>7.4999999999999997E-2</v>
      </c>
      <c r="D100" s="2">
        <v>0.05</v>
      </c>
      <c r="E100" s="2">
        <v>0.05</v>
      </c>
      <c r="F100" s="2">
        <v>0.65</v>
      </c>
      <c r="G100" s="2">
        <v>6</v>
      </c>
      <c r="H100" s="14">
        <v>3.3</v>
      </c>
      <c r="I100" s="15">
        <v>2500</v>
      </c>
      <c r="J100" s="16">
        <v>5000</v>
      </c>
      <c r="K100" s="3">
        <f>I100*'Currency-Conversion'!$C$10</f>
        <v>7659698624.999999</v>
      </c>
      <c r="L100" s="3">
        <f>J100*'Currency-Conversion'!$C$10</f>
        <v>15319397249.999998</v>
      </c>
      <c r="N100" s="17"/>
      <c r="O100" s="17"/>
    </row>
    <row r="101" spans="1:15" ht="13.5" customHeight="1">
      <c r="A101" s="13" t="s">
        <v>432</v>
      </c>
      <c r="B101" s="2">
        <v>1.45</v>
      </c>
      <c r="C101" s="2">
        <v>7.4999999999999997E-2</v>
      </c>
      <c r="D101" s="2">
        <v>0.05</v>
      </c>
      <c r="E101" s="2">
        <v>0.05</v>
      </c>
      <c r="F101" s="2">
        <v>0.5</v>
      </c>
      <c r="G101" s="2">
        <v>3</v>
      </c>
      <c r="H101" s="14">
        <v>3.3</v>
      </c>
      <c r="I101" s="15">
        <v>2500</v>
      </c>
      <c r="J101" s="16">
        <v>10000</v>
      </c>
      <c r="K101" s="3">
        <f>I101*'Currency-Conversion'!$C$10</f>
        <v>7659698624.999999</v>
      </c>
      <c r="L101" s="3">
        <f>J101*'Currency-Conversion'!$C$10</f>
        <v>30638794499.999996</v>
      </c>
      <c r="N101" s="17"/>
      <c r="O101" s="17"/>
    </row>
    <row r="102" spans="1:15" ht="13.5" customHeight="1">
      <c r="A102" s="13" t="s">
        <v>433</v>
      </c>
      <c r="B102" s="2">
        <v>1.5</v>
      </c>
      <c r="C102" s="2">
        <v>7.4999999999999997E-2</v>
      </c>
      <c r="D102" s="2">
        <v>0.05</v>
      </c>
      <c r="E102" s="2">
        <v>0.05</v>
      </c>
      <c r="F102" s="2">
        <v>0.55000000000000004</v>
      </c>
      <c r="G102" s="2">
        <v>3</v>
      </c>
      <c r="H102" s="14">
        <v>3.3</v>
      </c>
      <c r="I102" s="15">
        <v>1000</v>
      </c>
      <c r="J102" s="16">
        <v>2500</v>
      </c>
      <c r="K102" s="3">
        <f>I102*'Currency-Conversion'!$C$10</f>
        <v>3063879449.9999995</v>
      </c>
      <c r="L102" s="3">
        <f>J102*'Currency-Conversion'!$C$10</f>
        <v>7659698624.999999</v>
      </c>
      <c r="N102" s="17"/>
      <c r="O102" s="17"/>
    </row>
    <row r="103" spans="1:15" ht="13.5" customHeight="1">
      <c r="A103" s="13" t="s">
        <v>434</v>
      </c>
      <c r="B103" s="2">
        <v>1.55</v>
      </c>
      <c r="C103" s="2">
        <v>0.1</v>
      </c>
      <c r="D103" s="2">
        <v>0.05</v>
      </c>
      <c r="E103" s="2">
        <v>0.05</v>
      </c>
      <c r="F103" s="2">
        <v>0.45</v>
      </c>
      <c r="G103" s="2">
        <v>3.5</v>
      </c>
      <c r="H103" s="14">
        <v>3.85</v>
      </c>
      <c r="I103" s="15">
        <v>1000</v>
      </c>
      <c r="J103" s="16">
        <v>2500</v>
      </c>
      <c r="K103" s="3">
        <f>I103*'Currency-Conversion'!$C$10</f>
        <v>3063879449.9999995</v>
      </c>
      <c r="L103" s="3">
        <f>J103*'Currency-Conversion'!$C$10</f>
        <v>7659698624.999999</v>
      </c>
      <c r="N103" s="17"/>
      <c r="O103" s="17"/>
    </row>
    <row r="104" spans="1:15" ht="13.5" customHeight="1">
      <c r="A104" s="13" t="s">
        <v>435</v>
      </c>
      <c r="B104" s="2">
        <v>1.5</v>
      </c>
      <c r="C104" s="2">
        <v>0.1</v>
      </c>
      <c r="D104" s="2">
        <v>0.05</v>
      </c>
      <c r="E104" s="2">
        <v>0.05</v>
      </c>
      <c r="F104" s="2">
        <v>0.45</v>
      </c>
      <c r="G104" s="2">
        <v>3</v>
      </c>
      <c r="H104" s="14">
        <v>3.5</v>
      </c>
      <c r="I104" s="15">
        <v>1000</v>
      </c>
      <c r="J104" s="16">
        <v>2500</v>
      </c>
      <c r="K104" s="3">
        <f>I104*'Currency-Conversion'!$C$10</f>
        <v>3063879449.9999995</v>
      </c>
      <c r="L104" s="3">
        <f>J104*'Currency-Conversion'!$C$10</f>
        <v>7659698624.999999</v>
      </c>
      <c r="N104" s="17"/>
      <c r="O104" s="17"/>
    </row>
    <row r="105" spans="1:15" ht="13.5" customHeight="1">
      <c r="A105" s="13" t="s">
        <v>436</v>
      </c>
      <c r="B105" s="2">
        <v>1.55</v>
      </c>
      <c r="C105" s="2">
        <v>0.1</v>
      </c>
      <c r="D105" s="2">
        <v>0.05</v>
      </c>
      <c r="E105" s="2">
        <v>0.05</v>
      </c>
      <c r="F105" s="2">
        <v>0.65</v>
      </c>
      <c r="G105" s="2">
        <v>6</v>
      </c>
      <c r="H105" s="14">
        <v>3.85</v>
      </c>
      <c r="I105" s="15">
        <v>1000</v>
      </c>
      <c r="J105" s="16">
        <v>2000</v>
      </c>
      <c r="K105" s="3">
        <f>I105*'Currency-Conversion'!$C$10</f>
        <v>3063879449.9999995</v>
      </c>
      <c r="L105" s="3">
        <f>J105*'Currency-Conversion'!$C$10</f>
        <v>6127758899.999999</v>
      </c>
      <c r="N105" s="17"/>
      <c r="O105" s="17"/>
    </row>
    <row r="106" spans="1:15" ht="13.5" customHeight="1">
      <c r="A106" s="13" t="s">
        <v>437</v>
      </c>
      <c r="B106" s="2">
        <v>1.55</v>
      </c>
      <c r="C106" s="2">
        <v>0.1</v>
      </c>
      <c r="D106" s="2">
        <v>0.05</v>
      </c>
      <c r="E106" s="2">
        <v>0.05</v>
      </c>
      <c r="F106" s="2">
        <v>0.55000000000000004</v>
      </c>
      <c r="G106" s="2">
        <v>4</v>
      </c>
      <c r="H106" s="14">
        <v>3.5</v>
      </c>
      <c r="I106" s="15">
        <v>1000</v>
      </c>
      <c r="J106" s="16">
        <v>2000</v>
      </c>
      <c r="K106" s="3">
        <f>I106*'Currency-Conversion'!$C$10</f>
        <v>3063879449.9999995</v>
      </c>
      <c r="L106" s="3">
        <f>J106*'Currency-Conversion'!$C$10</f>
        <v>6127758899.999999</v>
      </c>
      <c r="N106" s="17"/>
      <c r="O106" s="17"/>
    </row>
    <row r="107" spans="1:15" ht="13.5" customHeight="1">
      <c r="A107" s="13" t="s">
        <v>438</v>
      </c>
      <c r="B107" s="2">
        <v>1.4</v>
      </c>
      <c r="C107" s="2">
        <v>7.4999999999999997E-2</v>
      </c>
      <c r="D107" s="2">
        <v>7.4999999999999997E-2</v>
      </c>
      <c r="E107" s="2">
        <v>0.05</v>
      </c>
      <c r="F107" s="2">
        <v>0.55000000000000004</v>
      </c>
      <c r="G107" s="2">
        <v>3</v>
      </c>
      <c r="H107" s="14">
        <v>2.95</v>
      </c>
      <c r="I107" s="15">
        <v>1000</v>
      </c>
      <c r="J107" s="16">
        <v>2000</v>
      </c>
      <c r="K107" s="3">
        <f>I107*'Currency-Conversion'!$C$10</f>
        <v>3063879449.9999995</v>
      </c>
      <c r="L107" s="3">
        <f>J107*'Currency-Conversion'!$C$10</f>
        <v>6127758899.999999</v>
      </c>
      <c r="N107" s="17"/>
      <c r="O107" s="17"/>
    </row>
    <row r="108" spans="1:15" ht="13.5" customHeight="1">
      <c r="A108" s="13" t="s">
        <v>439</v>
      </c>
      <c r="B108" s="2">
        <v>1.55</v>
      </c>
      <c r="C108" s="2">
        <v>0.1</v>
      </c>
      <c r="D108" s="2">
        <v>7.4999999999999997E-2</v>
      </c>
      <c r="E108" s="2">
        <v>0.05</v>
      </c>
      <c r="F108" s="2">
        <v>0.55000000000000004</v>
      </c>
      <c r="G108" s="2">
        <v>3.5</v>
      </c>
      <c r="H108" s="14">
        <v>3.3</v>
      </c>
      <c r="I108" s="15">
        <v>2500</v>
      </c>
      <c r="J108" s="16">
        <v>5000</v>
      </c>
      <c r="K108" s="3">
        <f>I108*'Currency-Conversion'!$C$10</f>
        <v>7659698624.999999</v>
      </c>
      <c r="L108" s="3">
        <f>J108*'Currency-Conversion'!$C$10</f>
        <v>15319397249.999998</v>
      </c>
      <c r="N108" s="17"/>
      <c r="O108" s="17"/>
    </row>
    <row r="109" spans="1:15" ht="13.5" customHeight="1">
      <c r="A109" s="13" t="s">
        <v>440</v>
      </c>
      <c r="B109" s="2">
        <v>1.55</v>
      </c>
      <c r="C109" s="2">
        <v>0.1</v>
      </c>
      <c r="D109" s="2">
        <v>0.05</v>
      </c>
      <c r="E109" s="2">
        <v>0.05</v>
      </c>
      <c r="F109" s="2">
        <v>0.5</v>
      </c>
      <c r="G109" s="2">
        <v>3</v>
      </c>
      <c r="H109" s="14">
        <v>3.3</v>
      </c>
      <c r="I109" s="15">
        <v>2500</v>
      </c>
      <c r="J109" s="16">
        <v>5000</v>
      </c>
      <c r="K109" s="3">
        <f>I109*'Currency-Conversion'!$C$10</f>
        <v>7659698624.999999</v>
      </c>
      <c r="L109" s="3">
        <f>J109*'Currency-Conversion'!$C$10</f>
        <v>15319397249.999998</v>
      </c>
      <c r="N109" s="17"/>
      <c r="O109" s="17"/>
    </row>
    <row r="110" spans="1:15" ht="13.5" customHeight="1">
      <c r="A110" s="13" t="s">
        <v>441</v>
      </c>
      <c r="B110" s="2">
        <v>1.55</v>
      </c>
      <c r="C110" s="2">
        <v>7.4999999999999997E-2</v>
      </c>
      <c r="D110" s="2">
        <v>0.05</v>
      </c>
      <c r="E110" s="2">
        <v>0.05</v>
      </c>
      <c r="F110" s="2">
        <v>0.5</v>
      </c>
      <c r="G110" s="2">
        <v>4</v>
      </c>
      <c r="H110" s="14">
        <v>3.3</v>
      </c>
      <c r="I110" s="15">
        <v>1000</v>
      </c>
      <c r="J110" s="16">
        <v>2500</v>
      </c>
      <c r="K110" s="3">
        <f>I110*'Currency-Conversion'!$C$10</f>
        <v>3063879449.9999995</v>
      </c>
      <c r="L110" s="3">
        <f>J110*'Currency-Conversion'!$C$10</f>
        <v>7659698624.999999</v>
      </c>
      <c r="N110" s="17"/>
      <c r="O110" s="17"/>
    </row>
    <row r="111" spans="1:15" ht="13.5" customHeight="1">
      <c r="A111" s="13" t="s">
        <v>442</v>
      </c>
      <c r="B111" s="2">
        <v>1.4</v>
      </c>
      <c r="C111" s="2">
        <v>7.4999999999999997E-2</v>
      </c>
      <c r="D111" s="2">
        <v>0.05</v>
      </c>
      <c r="E111" s="2">
        <v>0.05</v>
      </c>
      <c r="F111" s="2">
        <v>0.45</v>
      </c>
      <c r="G111" s="2">
        <v>2</v>
      </c>
      <c r="H111" s="14">
        <v>2.95</v>
      </c>
      <c r="I111" s="15">
        <v>1000</v>
      </c>
      <c r="J111" s="16">
        <v>2500</v>
      </c>
      <c r="K111" s="3">
        <f>I111*'Currency-Conversion'!$C$10</f>
        <v>3063879449.9999995</v>
      </c>
      <c r="L111" s="3">
        <f>J111*'Currency-Conversion'!$C$10</f>
        <v>7659698624.999999</v>
      </c>
      <c r="N111" s="17"/>
      <c r="O111" s="17"/>
    </row>
    <row r="112" spans="1:15" ht="13.5" customHeight="1">
      <c r="A112" s="13" t="s">
        <v>443</v>
      </c>
      <c r="B112" s="2">
        <v>1.4</v>
      </c>
      <c r="C112" s="2">
        <v>7.4999999999999997E-2</v>
      </c>
      <c r="D112" s="2">
        <v>0.05</v>
      </c>
      <c r="E112" s="2">
        <v>0.05</v>
      </c>
      <c r="F112" s="2">
        <v>0.45</v>
      </c>
      <c r="G112" s="2">
        <v>3</v>
      </c>
      <c r="H112" s="14">
        <v>2.75</v>
      </c>
      <c r="I112" s="15">
        <v>1000</v>
      </c>
      <c r="J112" s="16">
        <v>2500</v>
      </c>
      <c r="K112" s="3">
        <f>I112*'Currency-Conversion'!$C$10</f>
        <v>3063879449.9999995</v>
      </c>
      <c r="L112" s="3">
        <f>J112*'Currency-Conversion'!$C$10</f>
        <v>7659698624.999999</v>
      </c>
      <c r="N112" s="17"/>
      <c r="O112" s="17"/>
    </row>
    <row r="113" spans="1:15" ht="13.5" customHeight="1">
      <c r="A113" s="13" t="s">
        <v>444</v>
      </c>
      <c r="B113" s="2">
        <v>1.45</v>
      </c>
      <c r="C113" s="2">
        <v>0.1</v>
      </c>
      <c r="D113" s="2">
        <v>0.05</v>
      </c>
      <c r="E113" s="2">
        <v>0.05</v>
      </c>
      <c r="F113" s="2">
        <v>0.45</v>
      </c>
      <c r="G113" s="2">
        <v>2</v>
      </c>
      <c r="H113" s="14">
        <v>2.5499999999999998</v>
      </c>
      <c r="I113" s="15">
        <v>1000</v>
      </c>
      <c r="J113" s="16">
        <v>2500</v>
      </c>
      <c r="K113" s="3">
        <f>I113*'Currency-Conversion'!$C$10</f>
        <v>3063879449.9999995</v>
      </c>
      <c r="L113" s="3">
        <f>J113*'Currency-Conversion'!$C$10</f>
        <v>7659698624.999999</v>
      </c>
      <c r="N113" s="17"/>
      <c r="O113" s="17"/>
    </row>
    <row r="114" spans="1:15" ht="13.5" customHeight="1">
      <c r="A114" s="13" t="s">
        <v>445</v>
      </c>
      <c r="B114" s="2">
        <v>1.4</v>
      </c>
      <c r="C114" s="2">
        <v>7.4999999999999997E-2</v>
      </c>
      <c r="D114" s="2">
        <v>0.05</v>
      </c>
      <c r="E114" s="2">
        <v>0.05</v>
      </c>
      <c r="F114" s="2">
        <v>0.45</v>
      </c>
      <c r="G114" s="2">
        <v>2.5</v>
      </c>
      <c r="H114" s="14">
        <v>2.75</v>
      </c>
      <c r="I114" s="15">
        <v>1000</v>
      </c>
      <c r="J114" s="16">
        <v>2000</v>
      </c>
      <c r="K114" s="3">
        <f>I114*'Currency-Conversion'!$C$10</f>
        <v>3063879449.9999995</v>
      </c>
      <c r="L114" s="3">
        <f>J114*'Currency-Conversion'!$C$10</f>
        <v>6127758899.999999</v>
      </c>
      <c r="N114" s="17"/>
      <c r="O114" s="17"/>
    </row>
    <row r="115" spans="1:15" ht="13.5" customHeight="1">
      <c r="A115" s="13" t="s">
        <v>446</v>
      </c>
      <c r="B115" s="2">
        <v>1.65</v>
      </c>
      <c r="C115" s="2">
        <v>0.1</v>
      </c>
      <c r="D115" s="2">
        <v>0.05</v>
      </c>
      <c r="E115" s="2">
        <v>0.05</v>
      </c>
      <c r="F115" s="2">
        <v>0.5</v>
      </c>
      <c r="G115" s="2">
        <v>3</v>
      </c>
      <c r="H115" s="14">
        <v>3.3</v>
      </c>
      <c r="I115" s="15">
        <v>2500</v>
      </c>
      <c r="J115" s="16">
        <v>5000</v>
      </c>
      <c r="K115" s="3">
        <f>I115*'Currency-Conversion'!$C$10</f>
        <v>7659698624.999999</v>
      </c>
      <c r="L115" s="3">
        <f>J115*'Currency-Conversion'!$C$10</f>
        <v>15319397249.999998</v>
      </c>
      <c r="N115" s="17"/>
      <c r="O115" s="17"/>
    </row>
    <row r="116" spans="1:15" ht="13.5" customHeight="1">
      <c r="A116" s="13" t="s">
        <v>447</v>
      </c>
      <c r="B116" s="2">
        <v>1.3</v>
      </c>
      <c r="C116" s="2">
        <v>7.4999999999999997E-2</v>
      </c>
      <c r="D116" s="2">
        <v>0.05</v>
      </c>
      <c r="E116" s="2">
        <v>0.05</v>
      </c>
      <c r="F116" s="2">
        <v>0.45</v>
      </c>
      <c r="G116" s="2">
        <v>2</v>
      </c>
      <c r="H116" s="14">
        <v>2.2000000000000002</v>
      </c>
      <c r="I116" s="15">
        <v>1000</v>
      </c>
      <c r="J116" s="16">
        <v>2000</v>
      </c>
      <c r="K116" s="3">
        <f>I116*'Currency-Conversion'!$C$10</f>
        <v>3063879449.9999995</v>
      </c>
      <c r="L116" s="3">
        <f>J116*'Currency-Conversion'!$C$10</f>
        <v>6127758899.999999</v>
      </c>
      <c r="N116" s="17"/>
      <c r="O116" s="17"/>
    </row>
    <row r="117" spans="1:15" ht="13.5" customHeight="1">
      <c r="A117" s="13" t="s">
        <v>448</v>
      </c>
      <c r="B117" s="2">
        <v>1.35</v>
      </c>
      <c r="C117" s="2">
        <v>7.4999999999999997E-2</v>
      </c>
      <c r="D117" s="2">
        <v>0.05</v>
      </c>
      <c r="E117" s="2">
        <v>0.05</v>
      </c>
      <c r="F117" s="2">
        <v>0.45</v>
      </c>
      <c r="G117" s="2">
        <v>2</v>
      </c>
      <c r="H117" s="14">
        <v>2.2000000000000002</v>
      </c>
      <c r="I117" s="15">
        <v>1000</v>
      </c>
      <c r="J117" s="16">
        <v>2000</v>
      </c>
      <c r="K117" s="3">
        <f>I117*'Currency-Conversion'!$C$10</f>
        <v>3063879449.9999995</v>
      </c>
      <c r="L117" s="3">
        <f>J117*'Currency-Conversion'!$C$10</f>
        <v>6127758899.999999</v>
      </c>
      <c r="N117" s="17"/>
      <c r="O117" s="17"/>
    </row>
    <row r="118" spans="1:15" ht="13.5" customHeight="1">
      <c r="A118" s="13" t="s">
        <v>449</v>
      </c>
      <c r="B118" s="2">
        <v>1.25</v>
      </c>
      <c r="C118" s="2">
        <v>7.4999999999999997E-2</v>
      </c>
      <c r="D118" s="2">
        <v>0.05</v>
      </c>
      <c r="E118" s="2">
        <v>0.05</v>
      </c>
      <c r="F118" s="2">
        <v>0.45</v>
      </c>
      <c r="G118" s="2">
        <v>2.5</v>
      </c>
      <c r="H118" s="14">
        <v>2.2000000000000002</v>
      </c>
      <c r="I118" s="15">
        <v>1000</v>
      </c>
      <c r="J118" s="16">
        <v>2000</v>
      </c>
      <c r="K118" s="3">
        <f>I118*'Currency-Conversion'!$C$10</f>
        <v>3063879449.9999995</v>
      </c>
      <c r="L118" s="3">
        <f>J118*'Currency-Conversion'!$C$10</f>
        <v>6127758899.999999</v>
      </c>
      <c r="N118" s="17"/>
      <c r="O118" s="17"/>
    </row>
    <row r="119" spans="1:15" ht="13.5" customHeight="1">
      <c r="A119" s="13" t="s">
        <v>450</v>
      </c>
      <c r="B119" s="2">
        <v>1.35</v>
      </c>
      <c r="C119" s="2">
        <v>0.1</v>
      </c>
      <c r="D119" s="2">
        <v>0.05</v>
      </c>
      <c r="E119" s="2">
        <v>0.05</v>
      </c>
      <c r="F119" s="2">
        <v>0.45</v>
      </c>
      <c r="G119" s="2">
        <v>2.5</v>
      </c>
      <c r="H119" s="14">
        <v>2.4</v>
      </c>
      <c r="I119" s="15">
        <v>1000</v>
      </c>
      <c r="J119" s="16">
        <v>2000</v>
      </c>
      <c r="K119" s="3">
        <f>I119*'Currency-Conversion'!$C$10</f>
        <v>3063879449.9999995</v>
      </c>
      <c r="L119" s="3">
        <f>J119*'Currency-Conversion'!$C$10</f>
        <v>6127758899.999999</v>
      </c>
      <c r="N119" s="17"/>
      <c r="O119" s="17"/>
    </row>
    <row r="120" spans="1:15" ht="13.5" customHeight="1">
      <c r="A120" s="13" t="s">
        <v>451</v>
      </c>
      <c r="B120" s="2">
        <v>1.4</v>
      </c>
      <c r="C120" s="2">
        <v>0.1</v>
      </c>
      <c r="D120" s="2">
        <v>0.05</v>
      </c>
      <c r="E120" s="2">
        <v>0.05</v>
      </c>
      <c r="F120" s="2">
        <v>0.45</v>
      </c>
      <c r="G120" s="2">
        <v>3.5</v>
      </c>
      <c r="H120" s="14">
        <v>2.75</v>
      </c>
      <c r="I120" s="15">
        <v>1000</v>
      </c>
      <c r="J120" s="16">
        <v>2000</v>
      </c>
      <c r="K120" s="3">
        <f>I120*'Currency-Conversion'!$C$10</f>
        <v>3063879449.9999995</v>
      </c>
      <c r="L120" s="3">
        <f>J120*'Currency-Conversion'!$C$10</f>
        <v>6127758899.999999</v>
      </c>
      <c r="N120" s="17"/>
      <c r="O120" s="17"/>
    </row>
    <row r="121" spans="1:15" ht="13.5" customHeight="1">
      <c r="A121" s="13" t="s">
        <v>452</v>
      </c>
      <c r="B121" s="2">
        <v>1.55</v>
      </c>
      <c r="C121" s="2">
        <v>0.1</v>
      </c>
      <c r="D121" s="2">
        <v>7.4999999999999997E-2</v>
      </c>
      <c r="E121" s="2">
        <v>0.05</v>
      </c>
      <c r="F121" s="2">
        <v>0.55000000000000004</v>
      </c>
      <c r="G121" s="2">
        <v>4.5</v>
      </c>
      <c r="H121" s="14">
        <v>3.75</v>
      </c>
      <c r="I121" s="15">
        <v>2500</v>
      </c>
      <c r="J121" s="16">
        <v>5000</v>
      </c>
      <c r="K121" s="3">
        <f>I121*'Currency-Conversion'!$C$10</f>
        <v>7659698624.999999</v>
      </c>
      <c r="L121" s="3">
        <f>J121*'Currency-Conversion'!$C$10</f>
        <v>15319397249.999998</v>
      </c>
      <c r="N121" s="17"/>
      <c r="O121" s="17"/>
    </row>
    <row r="122" spans="1:15" ht="13.5" customHeight="1">
      <c r="A122" s="13" t="s">
        <v>453</v>
      </c>
      <c r="B122" s="2">
        <v>1.7</v>
      </c>
      <c r="C122" s="2">
        <v>0.1</v>
      </c>
      <c r="D122" s="2">
        <v>7.4999999999999997E-2</v>
      </c>
      <c r="E122" s="2">
        <v>0.05</v>
      </c>
      <c r="F122" s="2">
        <v>0.55000000000000004</v>
      </c>
      <c r="G122" s="2">
        <v>4</v>
      </c>
      <c r="H122" s="14">
        <v>3.85</v>
      </c>
      <c r="I122" s="15">
        <v>2500</v>
      </c>
      <c r="J122" s="16">
        <v>5000</v>
      </c>
      <c r="K122" s="3">
        <f>I122*'Currency-Conversion'!$C$10</f>
        <v>7659698624.999999</v>
      </c>
      <c r="L122" s="3">
        <f>J122*'Currency-Conversion'!$C$10</f>
        <v>15319397249.999998</v>
      </c>
      <c r="N122" s="17"/>
      <c r="O122" s="17"/>
    </row>
    <row r="123" spans="1:15" ht="13.5" customHeight="1">
      <c r="A123" s="13" t="s">
        <v>454</v>
      </c>
      <c r="B123" s="2">
        <v>1.55</v>
      </c>
      <c r="C123" s="2">
        <v>0.1</v>
      </c>
      <c r="D123" s="2">
        <v>7.4999999999999997E-2</v>
      </c>
      <c r="E123" s="2">
        <v>0.05</v>
      </c>
      <c r="F123" s="2">
        <v>0.45</v>
      </c>
      <c r="G123" s="2">
        <v>3</v>
      </c>
      <c r="H123" s="14">
        <v>3.4</v>
      </c>
      <c r="I123" s="15">
        <v>1000</v>
      </c>
      <c r="J123" s="16">
        <v>3000</v>
      </c>
      <c r="K123" s="3">
        <f>I123*'Currency-Conversion'!$C$10</f>
        <v>3063879449.9999995</v>
      </c>
      <c r="L123" s="3">
        <f>J123*'Currency-Conversion'!$C$10</f>
        <v>9191638350</v>
      </c>
      <c r="N123" s="17"/>
      <c r="O123" s="17"/>
    </row>
    <row r="124" spans="1:15" ht="13.5" customHeight="1">
      <c r="A124" s="13" t="s">
        <v>455</v>
      </c>
      <c r="B124" s="2">
        <v>1.7</v>
      </c>
      <c r="C124" s="2">
        <v>0.1</v>
      </c>
      <c r="D124" s="2">
        <v>7.4999999999999997E-2</v>
      </c>
      <c r="E124" s="2">
        <v>0.05</v>
      </c>
      <c r="F124" s="2">
        <v>0.45</v>
      </c>
      <c r="G124" s="2">
        <v>5</v>
      </c>
      <c r="H124" s="14">
        <v>3.85</v>
      </c>
      <c r="I124" s="15">
        <v>1000</v>
      </c>
      <c r="J124" s="16">
        <v>2000</v>
      </c>
      <c r="K124" s="3">
        <f>I124*'Currency-Conversion'!$C$10</f>
        <v>3063879449.9999995</v>
      </c>
      <c r="L124" s="3">
        <f>J124*'Currency-Conversion'!$C$10</f>
        <v>6127758899.999999</v>
      </c>
      <c r="N124" s="17"/>
      <c r="O124" s="17"/>
    </row>
    <row r="125" spans="1:15" ht="13.5" customHeight="1">
      <c r="A125" s="13" t="s">
        <v>8</v>
      </c>
      <c r="B125" s="2">
        <v>1.7</v>
      </c>
      <c r="C125" s="2">
        <v>0.1</v>
      </c>
      <c r="D125" s="2">
        <v>7.4999999999999997E-2</v>
      </c>
      <c r="E125" s="2">
        <v>0.05</v>
      </c>
      <c r="F125" s="2">
        <v>0.45</v>
      </c>
      <c r="G125" s="2">
        <v>3</v>
      </c>
      <c r="H125" s="14">
        <v>3.65</v>
      </c>
      <c r="I125" s="15">
        <v>1000</v>
      </c>
      <c r="J125" s="16">
        <v>2000</v>
      </c>
      <c r="K125" s="3">
        <f>I125*'Currency-Conversion'!$C$10</f>
        <v>3063879449.9999995</v>
      </c>
      <c r="L125" s="3">
        <f>J125*'Currency-Conversion'!$C$10</f>
        <v>6127758899.999999</v>
      </c>
      <c r="N125" s="17"/>
      <c r="O125" s="17"/>
    </row>
    <row r="126" spans="1:15" ht="13.5" customHeight="1">
      <c r="A126" s="13" t="s">
        <v>456</v>
      </c>
      <c r="B126" s="2">
        <v>1.65</v>
      </c>
      <c r="C126" s="2">
        <v>0.1</v>
      </c>
      <c r="D126" s="2">
        <v>7.4999999999999997E-2</v>
      </c>
      <c r="E126" s="2">
        <v>0.05</v>
      </c>
      <c r="F126" s="2">
        <v>0.45</v>
      </c>
      <c r="G126" s="2">
        <v>2.5</v>
      </c>
      <c r="H126" s="14">
        <v>3.1</v>
      </c>
      <c r="I126" s="15">
        <v>1000</v>
      </c>
      <c r="J126" s="16">
        <v>2000</v>
      </c>
      <c r="K126" s="3">
        <f>I126*'Currency-Conversion'!$C$10</f>
        <v>3063879449.9999995</v>
      </c>
      <c r="L126" s="3">
        <f>J126*'Currency-Conversion'!$C$10</f>
        <v>6127758899.999999</v>
      </c>
      <c r="N126" s="17"/>
      <c r="O126" s="17"/>
    </row>
    <row r="127" spans="1:15" ht="13.5" customHeight="1">
      <c r="A127" s="13" t="s">
        <v>457</v>
      </c>
      <c r="B127" s="2">
        <v>1.45</v>
      </c>
      <c r="C127" s="2">
        <v>7.4999999999999997E-2</v>
      </c>
      <c r="D127" s="2">
        <v>0.05</v>
      </c>
      <c r="E127" s="2">
        <v>0.05</v>
      </c>
      <c r="F127" s="2">
        <v>0.55000000000000004</v>
      </c>
      <c r="G127" s="2">
        <v>3</v>
      </c>
      <c r="H127" s="14">
        <v>2.75</v>
      </c>
      <c r="I127" s="15">
        <v>1000</v>
      </c>
      <c r="J127" s="16">
        <v>2000</v>
      </c>
      <c r="K127" s="3">
        <f>I127*'Currency-Conversion'!$C$10</f>
        <v>3063879449.9999995</v>
      </c>
      <c r="L127" s="3">
        <f>J127*'Currency-Conversion'!$C$10</f>
        <v>6127758899.999999</v>
      </c>
      <c r="N127" s="17"/>
      <c r="O127" s="17"/>
    </row>
    <row r="128" spans="1:15" ht="13.5" customHeight="1">
      <c r="A128" s="13" t="s">
        <v>458</v>
      </c>
      <c r="B128" s="2">
        <v>1.4</v>
      </c>
      <c r="C128" s="2">
        <v>0.1</v>
      </c>
      <c r="D128" s="2">
        <v>0.05</v>
      </c>
      <c r="E128" s="2">
        <v>0.05</v>
      </c>
      <c r="F128" s="2">
        <v>0.45</v>
      </c>
      <c r="G128" s="2">
        <v>3</v>
      </c>
      <c r="H128" s="14">
        <v>2.75</v>
      </c>
      <c r="I128" s="15">
        <v>1000</v>
      </c>
      <c r="J128" s="16">
        <v>2000</v>
      </c>
      <c r="K128" s="3">
        <f>I128*'Currency-Conversion'!$C$10</f>
        <v>3063879449.9999995</v>
      </c>
      <c r="L128" s="3">
        <f>J128*'Currency-Conversion'!$C$10</f>
        <v>6127758899.999999</v>
      </c>
      <c r="N128" s="17"/>
      <c r="O128" s="17"/>
    </row>
    <row r="129" spans="1:15" ht="13.5" customHeight="1">
      <c r="A129" s="13" t="s">
        <v>459</v>
      </c>
      <c r="B129" s="2">
        <v>1.55</v>
      </c>
      <c r="C129" s="2">
        <v>0.1</v>
      </c>
      <c r="D129" s="2">
        <v>0.05</v>
      </c>
      <c r="E129" s="2">
        <v>0.05</v>
      </c>
      <c r="F129" s="2">
        <v>0.55000000000000004</v>
      </c>
      <c r="G129" s="2">
        <v>2.5</v>
      </c>
      <c r="H129" s="14">
        <v>2.95</v>
      </c>
      <c r="I129" s="15">
        <v>1000</v>
      </c>
      <c r="J129" s="16">
        <v>2000</v>
      </c>
      <c r="K129" s="3">
        <f>I129*'Currency-Conversion'!$C$10</f>
        <v>3063879449.9999995</v>
      </c>
      <c r="L129" s="3">
        <f>J129*'Currency-Conversion'!$C$10</f>
        <v>6127758899.999999</v>
      </c>
      <c r="N129" s="17"/>
      <c r="O129" s="17"/>
    </row>
    <row r="130" spans="1:15" ht="13.5" customHeight="1">
      <c r="A130" s="13" t="s">
        <v>460</v>
      </c>
      <c r="B130" s="2">
        <v>1.4</v>
      </c>
      <c r="C130" s="2">
        <v>0.1</v>
      </c>
      <c r="D130" s="2">
        <v>0.05</v>
      </c>
      <c r="E130" s="2">
        <v>0.05</v>
      </c>
      <c r="F130" s="2">
        <v>0.55000000000000004</v>
      </c>
      <c r="G130" s="2">
        <v>2.5</v>
      </c>
      <c r="H130" s="14">
        <v>2.75</v>
      </c>
      <c r="I130" s="15">
        <v>1000</v>
      </c>
      <c r="J130" s="16">
        <v>2000</v>
      </c>
      <c r="K130" s="3">
        <f>I130*'Currency-Conversion'!$C$10</f>
        <v>3063879449.9999995</v>
      </c>
      <c r="L130" s="3">
        <f>J130*'Currency-Conversion'!$C$10</f>
        <v>6127758899.999999</v>
      </c>
      <c r="N130" s="17"/>
      <c r="O130" s="17"/>
    </row>
    <row r="131" spans="1:15" ht="13.5" customHeight="1">
      <c r="A131" s="13" t="s">
        <v>461</v>
      </c>
      <c r="B131" s="2">
        <v>1.4</v>
      </c>
      <c r="C131" s="2">
        <v>0.1</v>
      </c>
      <c r="D131" s="2">
        <v>0.05</v>
      </c>
      <c r="E131" s="2">
        <v>0.05</v>
      </c>
      <c r="F131" s="2">
        <v>0.45</v>
      </c>
      <c r="G131" s="2">
        <v>2</v>
      </c>
      <c r="H131" s="14">
        <v>2.75</v>
      </c>
      <c r="I131" s="15">
        <v>1000</v>
      </c>
      <c r="J131" s="16">
        <v>2000</v>
      </c>
      <c r="K131" s="3">
        <f>I131*'Currency-Conversion'!$C$10</f>
        <v>3063879449.9999995</v>
      </c>
      <c r="L131" s="3">
        <f>J131*'Currency-Conversion'!$C$10</f>
        <v>6127758899.999999</v>
      </c>
      <c r="N131" s="17"/>
      <c r="O131" s="17"/>
    </row>
    <row r="132" spans="1:15" ht="13.5" customHeight="1">
      <c r="A132" s="13" t="s">
        <v>462</v>
      </c>
      <c r="B132" s="2">
        <v>1.65</v>
      </c>
      <c r="C132" s="2">
        <v>0.1</v>
      </c>
      <c r="D132" s="2">
        <v>0.05</v>
      </c>
      <c r="E132" s="2">
        <v>0.05</v>
      </c>
      <c r="F132" s="2">
        <v>0.55000000000000004</v>
      </c>
      <c r="G132" s="2">
        <v>3.5</v>
      </c>
      <c r="H132" s="14">
        <v>3.3</v>
      </c>
      <c r="I132" s="15">
        <v>1000</v>
      </c>
      <c r="J132" s="16">
        <v>2500</v>
      </c>
      <c r="K132" s="3">
        <f>I132*'Currency-Conversion'!$C$10</f>
        <v>3063879449.9999995</v>
      </c>
      <c r="L132" s="3">
        <f>J132*'Currency-Conversion'!$C$10</f>
        <v>7659698624.999999</v>
      </c>
      <c r="N132" s="17"/>
      <c r="O132" s="17"/>
    </row>
    <row r="133" spans="1:15" ht="13.5" customHeight="1">
      <c r="A133" s="13" t="s">
        <v>463</v>
      </c>
      <c r="B133" s="2">
        <v>1.5</v>
      </c>
      <c r="C133" s="2">
        <v>0.1</v>
      </c>
      <c r="D133" s="2">
        <v>0.05</v>
      </c>
      <c r="E133" s="2">
        <v>0.05</v>
      </c>
      <c r="F133" s="2">
        <v>0.55000000000000004</v>
      </c>
      <c r="G133" s="2">
        <v>3</v>
      </c>
      <c r="H133" s="14">
        <v>2.85</v>
      </c>
      <c r="I133" s="15">
        <v>1000</v>
      </c>
      <c r="J133" s="16">
        <v>2500</v>
      </c>
      <c r="K133" s="3">
        <f>I133*'Currency-Conversion'!$C$10</f>
        <v>3063879449.9999995</v>
      </c>
      <c r="L133" s="3">
        <f>J133*'Currency-Conversion'!$C$10</f>
        <v>7659698624.999999</v>
      </c>
      <c r="N133" s="17"/>
      <c r="O133" s="17"/>
    </row>
    <row r="134" spans="1:15" ht="13.5" customHeight="1">
      <c r="A134" s="13" t="s">
        <v>464</v>
      </c>
      <c r="B134" s="2">
        <v>1.6</v>
      </c>
      <c r="C134" s="2">
        <v>7.4999999999999997E-2</v>
      </c>
      <c r="D134" s="2">
        <v>0.05</v>
      </c>
      <c r="E134" s="2">
        <v>0.05</v>
      </c>
      <c r="F134" s="2">
        <v>0.65</v>
      </c>
      <c r="G134" s="2">
        <v>3.5</v>
      </c>
      <c r="H134" s="14">
        <v>3.3</v>
      </c>
      <c r="I134" s="15">
        <v>1000</v>
      </c>
      <c r="J134" s="16">
        <v>5000</v>
      </c>
      <c r="K134" s="3">
        <f>I134*'Currency-Conversion'!$C$10</f>
        <v>3063879449.9999995</v>
      </c>
      <c r="L134" s="3">
        <f>J134*'Currency-Conversion'!$C$10</f>
        <v>15319397249.999998</v>
      </c>
      <c r="N134" s="17"/>
      <c r="O134" s="17"/>
    </row>
    <row r="135" spans="1:15" ht="13.5" customHeight="1">
      <c r="A135" s="13" t="s">
        <v>465</v>
      </c>
      <c r="B135" s="2">
        <v>1.6</v>
      </c>
      <c r="C135" s="2">
        <v>7.4999999999999997E-2</v>
      </c>
      <c r="D135" s="2">
        <v>0.05</v>
      </c>
      <c r="E135" s="2">
        <v>0.05</v>
      </c>
      <c r="F135" s="2">
        <v>0.55000000000000004</v>
      </c>
      <c r="G135" s="2">
        <v>3</v>
      </c>
      <c r="H135" s="14">
        <v>3.1</v>
      </c>
      <c r="I135" s="15">
        <v>1000</v>
      </c>
      <c r="J135" s="16">
        <v>2500</v>
      </c>
      <c r="K135" s="3">
        <f>I135*'Currency-Conversion'!$C$10</f>
        <v>3063879449.9999995</v>
      </c>
      <c r="L135" s="3">
        <f>J135*'Currency-Conversion'!$C$10</f>
        <v>7659698624.999999</v>
      </c>
      <c r="N135" s="17"/>
      <c r="O135" s="17"/>
    </row>
    <row r="136" spans="1:15" ht="13.5" customHeight="1">
      <c r="A136" s="13" t="s">
        <v>466</v>
      </c>
      <c r="B136" s="2">
        <v>1.4</v>
      </c>
      <c r="C136" s="2">
        <v>0.1</v>
      </c>
      <c r="D136" s="2">
        <v>0.05</v>
      </c>
      <c r="E136" s="2">
        <v>0.05</v>
      </c>
      <c r="F136" s="2">
        <v>0.45</v>
      </c>
      <c r="G136" s="2">
        <v>2.5</v>
      </c>
      <c r="H136" s="14">
        <v>2.75</v>
      </c>
      <c r="I136" s="15">
        <v>1000</v>
      </c>
      <c r="J136" s="16">
        <v>2000</v>
      </c>
      <c r="K136" s="3">
        <f>I136*'Currency-Conversion'!$C$10</f>
        <v>3063879449.9999995</v>
      </c>
      <c r="L136" s="3">
        <f>J136*'Currency-Conversion'!$C$10</f>
        <v>6127758899.999999</v>
      </c>
      <c r="N136" s="17"/>
      <c r="O136" s="17"/>
    </row>
    <row r="137" spans="1:15" ht="13.5" customHeight="1">
      <c r="A137" s="13" t="s">
        <v>467</v>
      </c>
      <c r="B137" s="2">
        <v>1.4</v>
      </c>
      <c r="C137" s="2">
        <v>0.1</v>
      </c>
      <c r="D137" s="2">
        <v>0.05</v>
      </c>
      <c r="E137" s="2">
        <v>0.05</v>
      </c>
      <c r="F137" s="2">
        <v>0.5</v>
      </c>
      <c r="G137" s="2">
        <v>3</v>
      </c>
      <c r="H137" s="14">
        <v>2.75</v>
      </c>
      <c r="I137" s="15">
        <v>1000</v>
      </c>
      <c r="J137" s="16">
        <v>2000</v>
      </c>
      <c r="K137" s="3">
        <f>I137*'Currency-Conversion'!$C$10</f>
        <v>3063879449.9999995</v>
      </c>
      <c r="L137" s="3">
        <f>J137*'Currency-Conversion'!$C$10</f>
        <v>6127758899.999999</v>
      </c>
      <c r="N137" s="17"/>
      <c r="O137" s="17"/>
    </row>
    <row r="138" spans="1:15" ht="13.5" customHeight="1">
      <c r="A138" s="13" t="s">
        <v>468</v>
      </c>
      <c r="B138" s="2">
        <v>1.45</v>
      </c>
      <c r="C138" s="2">
        <v>7.4999999999999997E-2</v>
      </c>
      <c r="D138" s="2">
        <v>0.05</v>
      </c>
      <c r="E138" s="2">
        <v>0.05</v>
      </c>
      <c r="F138" s="2">
        <v>0.55000000000000004</v>
      </c>
      <c r="G138" s="2">
        <v>3</v>
      </c>
      <c r="H138" s="14">
        <v>2.75</v>
      </c>
      <c r="I138" s="15">
        <v>1000</v>
      </c>
      <c r="J138" s="16">
        <v>2000</v>
      </c>
      <c r="K138" s="3">
        <f>I138*'Currency-Conversion'!$C$10</f>
        <v>3063879449.9999995</v>
      </c>
      <c r="L138" s="3">
        <f>J138*'Currency-Conversion'!$C$10</f>
        <v>6127758899.999999</v>
      </c>
      <c r="N138" s="17"/>
      <c r="O138" s="17"/>
    </row>
    <row r="139" spans="1:15" ht="13.5" customHeight="1">
      <c r="A139" s="13" t="s">
        <v>469</v>
      </c>
      <c r="B139" s="2">
        <v>1.6</v>
      </c>
      <c r="C139" s="2">
        <v>0.1</v>
      </c>
      <c r="D139" s="2">
        <v>7.4999999999999997E-2</v>
      </c>
      <c r="E139" s="2">
        <v>0.05</v>
      </c>
      <c r="F139" s="2">
        <v>0.45</v>
      </c>
      <c r="G139" s="2">
        <v>4</v>
      </c>
      <c r="H139" s="14">
        <v>3.3</v>
      </c>
      <c r="I139" s="15">
        <v>1000</v>
      </c>
      <c r="J139" s="16">
        <v>2500</v>
      </c>
      <c r="K139" s="3">
        <f>I139*'Currency-Conversion'!$C$10</f>
        <v>3063879449.9999995</v>
      </c>
      <c r="L139" s="3">
        <f>J139*'Currency-Conversion'!$C$10</f>
        <v>7659698624.999999</v>
      </c>
      <c r="N139" s="17"/>
      <c r="O139" s="17"/>
    </row>
    <row r="140" spans="1:15" ht="13.5" customHeight="1">
      <c r="A140" s="13" t="s">
        <v>470</v>
      </c>
      <c r="B140" s="2">
        <v>1.55</v>
      </c>
      <c r="C140" s="2">
        <v>0.1</v>
      </c>
      <c r="D140" s="2">
        <v>7.4999999999999997E-2</v>
      </c>
      <c r="E140" s="2">
        <v>0.05</v>
      </c>
      <c r="F140" s="2">
        <v>0.65</v>
      </c>
      <c r="G140" s="2">
        <v>4.5</v>
      </c>
      <c r="H140" s="14">
        <v>3.3</v>
      </c>
      <c r="I140" s="15">
        <v>1000</v>
      </c>
      <c r="J140" s="16">
        <v>2500</v>
      </c>
      <c r="K140" s="3">
        <f>I140*'Currency-Conversion'!$C$10</f>
        <v>3063879449.9999995</v>
      </c>
      <c r="L140" s="3">
        <f>J140*'Currency-Conversion'!$C$10</f>
        <v>7659698624.999999</v>
      </c>
      <c r="N140" s="17"/>
      <c r="O140" s="17"/>
    </row>
    <row r="141" spans="1:15" ht="13.5" customHeight="1">
      <c r="A141" s="13" t="s">
        <v>471</v>
      </c>
      <c r="B141" s="2">
        <v>1.55</v>
      </c>
      <c r="C141" s="2">
        <v>0.1</v>
      </c>
      <c r="D141" s="2">
        <v>7.4999999999999997E-2</v>
      </c>
      <c r="E141" s="2">
        <v>0.05</v>
      </c>
      <c r="F141" s="2">
        <v>0.65</v>
      </c>
      <c r="G141" s="2">
        <v>4</v>
      </c>
      <c r="H141" s="14">
        <v>3.3</v>
      </c>
      <c r="I141" s="15">
        <v>2500</v>
      </c>
      <c r="J141" s="16">
        <v>2500</v>
      </c>
      <c r="K141" s="3">
        <f>I141*'Currency-Conversion'!$C$10</f>
        <v>7659698624.999999</v>
      </c>
      <c r="L141" s="3">
        <f>J141*'Currency-Conversion'!$C$10</f>
        <v>7659698624.999999</v>
      </c>
      <c r="N141" s="17"/>
      <c r="O141" s="17"/>
    </row>
    <row r="142" spans="1:15" ht="13.5" customHeight="1">
      <c r="A142" s="13" t="s">
        <v>472</v>
      </c>
      <c r="B142" s="2">
        <v>1.7</v>
      </c>
      <c r="C142" s="2">
        <v>0.1</v>
      </c>
      <c r="D142" s="2">
        <v>7.4999999999999997E-2</v>
      </c>
      <c r="E142" s="2">
        <v>0.05</v>
      </c>
      <c r="F142" s="2">
        <v>0.65</v>
      </c>
      <c r="G142" s="2">
        <v>4</v>
      </c>
      <c r="H142" s="14">
        <v>3.3</v>
      </c>
      <c r="I142" s="15">
        <v>1000</v>
      </c>
      <c r="J142" s="16">
        <v>5000</v>
      </c>
      <c r="K142" s="3">
        <f>I142*'Currency-Conversion'!$C$10</f>
        <v>3063879449.9999995</v>
      </c>
      <c r="L142" s="3">
        <f>J142*'Currency-Conversion'!$C$10</f>
        <v>15319397249.999998</v>
      </c>
      <c r="N142" s="17"/>
      <c r="O142" s="17"/>
    </row>
    <row r="143" spans="1:15" ht="13.5" customHeight="1">
      <c r="A143" s="13" t="s">
        <v>473</v>
      </c>
      <c r="B143" s="2">
        <v>1.6</v>
      </c>
      <c r="C143" s="2">
        <v>0.1</v>
      </c>
      <c r="D143" s="2">
        <v>7.4999999999999997E-2</v>
      </c>
      <c r="E143" s="2">
        <v>0.05</v>
      </c>
      <c r="F143" s="2">
        <v>0.65</v>
      </c>
      <c r="G143" s="2">
        <v>3.5</v>
      </c>
      <c r="H143" s="14">
        <v>3.1</v>
      </c>
      <c r="I143" s="15">
        <v>1000</v>
      </c>
      <c r="J143" s="16">
        <v>2000</v>
      </c>
      <c r="K143" s="3">
        <f>I143*'Currency-Conversion'!$C$10</f>
        <v>3063879449.9999995</v>
      </c>
      <c r="L143" s="3">
        <f>J143*'Currency-Conversion'!$C$10</f>
        <v>6127758899.999999</v>
      </c>
      <c r="N143" s="17"/>
      <c r="O143" s="17"/>
    </row>
    <row r="144" spans="1:15" ht="13.5" customHeight="1">
      <c r="A144" s="13" t="s">
        <v>474</v>
      </c>
      <c r="B144" s="2">
        <v>1.65</v>
      </c>
      <c r="C144" s="2">
        <v>0.1</v>
      </c>
      <c r="D144" s="2">
        <v>7.4999999999999997E-2</v>
      </c>
      <c r="E144" s="2">
        <v>0.05</v>
      </c>
      <c r="F144" s="2">
        <v>0.35</v>
      </c>
      <c r="G144" s="2">
        <v>3</v>
      </c>
      <c r="H144" s="14">
        <v>3.3</v>
      </c>
      <c r="I144" s="15">
        <v>5000</v>
      </c>
      <c r="J144" s="16">
        <v>5000</v>
      </c>
      <c r="K144" s="3">
        <f>I144*'Currency-Conversion'!$C$10</f>
        <v>15319397249.999998</v>
      </c>
      <c r="L144" s="3">
        <f>J144*'Currency-Conversion'!$C$10</f>
        <v>15319397249.999998</v>
      </c>
      <c r="N144" s="17"/>
      <c r="O144" s="17"/>
    </row>
    <row r="145" spans="1:15" ht="13.5" customHeight="1">
      <c r="A145" s="13" t="s">
        <v>475</v>
      </c>
      <c r="B145" s="2">
        <v>1.55</v>
      </c>
      <c r="C145" s="2">
        <v>7.4999999999999997E-2</v>
      </c>
      <c r="D145" s="2">
        <v>0.05</v>
      </c>
      <c r="E145" s="2">
        <v>0.05</v>
      </c>
      <c r="F145" s="2">
        <v>0.45</v>
      </c>
      <c r="G145" s="2">
        <v>3.5</v>
      </c>
      <c r="H145" s="14">
        <v>3.15</v>
      </c>
      <c r="I145" s="15">
        <v>1000</v>
      </c>
      <c r="J145" s="16">
        <v>2000</v>
      </c>
      <c r="K145" s="3">
        <f>I145*'Currency-Conversion'!$C$10</f>
        <v>3063879449.9999995</v>
      </c>
      <c r="L145" s="3">
        <f>J145*'Currency-Conversion'!$C$10</f>
        <v>6127758899.999999</v>
      </c>
      <c r="N145" s="17"/>
      <c r="O145" s="17"/>
    </row>
    <row r="146" spans="1:15" ht="13.5" customHeight="1">
      <c r="A146" s="13" t="s">
        <v>476</v>
      </c>
      <c r="B146" s="2">
        <v>1.65</v>
      </c>
      <c r="C146" s="2">
        <v>0.1</v>
      </c>
      <c r="D146" s="2">
        <v>7.4999999999999997E-2</v>
      </c>
      <c r="E146" s="2">
        <v>0.05</v>
      </c>
      <c r="F146" s="2">
        <v>0.55000000000000004</v>
      </c>
      <c r="G146" s="2">
        <v>4</v>
      </c>
      <c r="H146" s="14">
        <v>3.6</v>
      </c>
      <c r="I146" s="15">
        <v>2500</v>
      </c>
      <c r="J146" s="16">
        <v>5000</v>
      </c>
      <c r="K146" s="3">
        <f>I146*'Currency-Conversion'!$C$10</f>
        <v>7659698624.999999</v>
      </c>
      <c r="L146" s="3">
        <f>J146*'Currency-Conversion'!$C$10</f>
        <v>15319397249.999998</v>
      </c>
      <c r="N146" s="17"/>
      <c r="O146" s="17"/>
    </row>
    <row r="147" spans="1:15" ht="13.5" customHeight="1">
      <c r="A147" s="13" t="s">
        <v>477</v>
      </c>
      <c r="B147" s="2">
        <v>1.6</v>
      </c>
      <c r="C147" s="2">
        <v>7.4999999999999997E-2</v>
      </c>
      <c r="D147" s="2">
        <v>0.05</v>
      </c>
      <c r="E147" s="2">
        <v>0.05</v>
      </c>
      <c r="F147" s="2">
        <v>0.45</v>
      </c>
      <c r="G147" s="2">
        <v>3</v>
      </c>
      <c r="H147" s="14">
        <v>3.2</v>
      </c>
      <c r="I147" s="15">
        <v>1000</v>
      </c>
      <c r="J147" s="16">
        <v>2000</v>
      </c>
      <c r="K147" s="3">
        <f>I147*'Currency-Conversion'!$C$10</f>
        <v>3063879449.9999995</v>
      </c>
      <c r="L147" s="3">
        <f>J147*'Currency-Conversion'!$C$10</f>
        <v>6127758899.999999</v>
      </c>
      <c r="N147" s="17"/>
      <c r="O147" s="17"/>
    </row>
    <row r="148" spans="1:15" ht="27.75" customHeight="1">
      <c r="A148" s="13" t="s">
        <v>478</v>
      </c>
      <c r="B148" s="2">
        <v>1.4</v>
      </c>
      <c r="C148" s="2">
        <v>0.1</v>
      </c>
      <c r="D148" s="2">
        <v>7.4999999999999997E-2</v>
      </c>
      <c r="E148" s="2">
        <v>0.05</v>
      </c>
      <c r="F148" s="2">
        <v>0.55000000000000004</v>
      </c>
      <c r="G148" s="2">
        <v>4</v>
      </c>
      <c r="H148" s="14">
        <v>2.75</v>
      </c>
      <c r="I148" s="15">
        <v>1000</v>
      </c>
      <c r="J148" s="16">
        <v>2000</v>
      </c>
      <c r="K148" s="3">
        <f>I148*'Currency-Conversion'!$C$10</f>
        <v>3063879449.9999995</v>
      </c>
      <c r="L148" s="3">
        <f>J148*'Currency-Conversion'!$C$10</f>
        <v>6127758899.999999</v>
      </c>
      <c r="N148" s="17"/>
      <c r="O148" s="17"/>
    </row>
    <row r="149" spans="1:15" ht="13.5" customHeight="1">
      <c r="A149" s="13" t="s">
        <v>479</v>
      </c>
      <c r="B149" s="2">
        <v>1.7</v>
      </c>
      <c r="C149" s="2">
        <v>0.1</v>
      </c>
      <c r="D149" s="2">
        <v>7.4999999999999997E-2</v>
      </c>
      <c r="E149" s="2">
        <v>0.05</v>
      </c>
      <c r="F149" s="2">
        <v>0.9</v>
      </c>
      <c r="G149" s="2">
        <v>5</v>
      </c>
      <c r="H149" s="14">
        <v>3.3</v>
      </c>
      <c r="I149" s="15">
        <v>1000</v>
      </c>
      <c r="J149" s="16">
        <v>2000</v>
      </c>
      <c r="K149" s="3">
        <f>I149*'Currency-Conversion'!$C$10</f>
        <v>3063879449.9999995</v>
      </c>
      <c r="L149" s="3">
        <f>J149*'Currency-Conversion'!$C$10</f>
        <v>6127758899.999999</v>
      </c>
      <c r="N149" s="17"/>
      <c r="O149" s="17"/>
    </row>
    <row r="150" spans="1:15" ht="13.5" customHeight="1">
      <c r="A150" s="13" t="s">
        <v>480</v>
      </c>
      <c r="B150" s="2">
        <v>1.65</v>
      </c>
      <c r="C150" s="2">
        <v>0.15</v>
      </c>
      <c r="D150" s="2">
        <v>0.05</v>
      </c>
      <c r="E150" s="2">
        <v>0.05</v>
      </c>
      <c r="F150" s="2">
        <v>0.5</v>
      </c>
      <c r="G150" s="2">
        <v>3.5</v>
      </c>
      <c r="H150" s="14">
        <v>3.3</v>
      </c>
      <c r="I150" s="15">
        <v>1000</v>
      </c>
      <c r="J150" s="16">
        <v>2500</v>
      </c>
      <c r="K150" s="3">
        <f>I150*'Currency-Conversion'!$C$10</f>
        <v>3063879449.9999995</v>
      </c>
      <c r="L150" s="3">
        <f>J150*'Currency-Conversion'!$C$10</f>
        <v>7659698624.999999</v>
      </c>
      <c r="N150" s="17"/>
      <c r="O150" s="17"/>
    </row>
    <row r="151" spans="1:15" ht="13.5" customHeight="1">
      <c r="A151" s="13" t="s">
        <v>481</v>
      </c>
      <c r="B151" s="2">
        <v>1.5</v>
      </c>
      <c r="C151" s="2">
        <v>0.1</v>
      </c>
      <c r="D151" s="2">
        <v>0.05</v>
      </c>
      <c r="E151" s="2">
        <v>0.05</v>
      </c>
      <c r="F151" s="2">
        <v>0.55000000000000004</v>
      </c>
      <c r="G151" s="2">
        <v>3</v>
      </c>
      <c r="H151" s="14">
        <v>3.1</v>
      </c>
      <c r="I151" s="15">
        <v>1000</v>
      </c>
      <c r="J151" s="16">
        <v>2500</v>
      </c>
      <c r="K151" s="3">
        <f>I151*'Currency-Conversion'!$C$10</f>
        <v>3063879449.9999995</v>
      </c>
      <c r="L151" s="3">
        <f>J151*'Currency-Conversion'!$C$10</f>
        <v>7659698624.999999</v>
      </c>
      <c r="N151" s="17"/>
      <c r="O151" s="17"/>
    </row>
    <row r="152" spans="1:15" ht="27.75" customHeight="1">
      <c r="A152" s="13" t="s">
        <v>482</v>
      </c>
      <c r="B152" s="2">
        <v>1.55</v>
      </c>
      <c r="C152" s="2">
        <v>0.125</v>
      </c>
      <c r="D152" s="2">
        <v>7.4999999999999997E-2</v>
      </c>
      <c r="E152" s="2">
        <v>0.05</v>
      </c>
      <c r="F152" s="2">
        <v>0.55000000000000004</v>
      </c>
      <c r="G152" s="2">
        <v>3</v>
      </c>
      <c r="H152" s="14">
        <v>3.3</v>
      </c>
      <c r="I152" s="15">
        <v>1000</v>
      </c>
      <c r="J152" s="16">
        <v>2500</v>
      </c>
      <c r="K152" s="3">
        <f>I152*'Currency-Conversion'!$C$10</f>
        <v>3063879449.9999995</v>
      </c>
      <c r="L152" s="3">
        <f>J152*'Currency-Conversion'!$C$10</f>
        <v>7659698624.999999</v>
      </c>
      <c r="N152" s="17"/>
      <c r="O152" s="17"/>
    </row>
    <row r="153" spans="1:15" ht="13.5" customHeight="1">
      <c r="A153" s="19"/>
      <c r="B153" s="20"/>
      <c r="C153" s="20"/>
      <c r="D153" s="20"/>
      <c r="E153" s="20"/>
      <c r="F153" s="20"/>
      <c r="G153" s="20"/>
      <c r="H153" s="21"/>
      <c r="I153" s="22"/>
      <c r="J153" s="23"/>
      <c r="K153" s="17" t="s">
        <v>483</v>
      </c>
      <c r="L153" s="17" t="s">
        <v>484</v>
      </c>
      <c r="N153" s="17"/>
      <c r="O153" s="17"/>
    </row>
  </sheetData>
  <pageMargins left="0.7" right="0.7" top="0.75" bottom="0.75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I31"/>
  <sheetViews>
    <sheetView showGridLines="0" zoomScaleNormal="100" workbookViewId="0">
      <pane ySplit="1" topLeftCell="A2" activePane="bottomLeft" state="frozen"/>
      <selection pane="bottomLeft" activeCell="B34" sqref="B34"/>
    </sheetView>
  </sheetViews>
  <sheetFormatPr baseColWidth="10" defaultColWidth="8.5" defaultRowHeight="14"/>
  <cols>
    <col min="1" max="1" width="13.33203125" customWidth="1"/>
    <col min="2" max="2" width="43.6640625" customWidth="1"/>
    <col min="3" max="3" width="14.83203125" customWidth="1"/>
    <col min="4" max="4" width="22.5" customWidth="1"/>
    <col min="5" max="5" width="14.5" customWidth="1"/>
    <col min="6" max="6" width="17.5" customWidth="1"/>
    <col min="7" max="7" width="121.6640625" customWidth="1"/>
    <col min="9" max="9" width="38" customWidth="1"/>
  </cols>
  <sheetData>
    <row r="1" spans="1:9" ht="25.5" customHeight="1">
      <c r="A1" s="24" t="s">
        <v>485</v>
      </c>
      <c r="B1" s="24" t="s">
        <v>486</v>
      </c>
      <c r="C1" s="24" t="s">
        <v>487</v>
      </c>
      <c r="D1" s="24" t="s">
        <v>488</v>
      </c>
      <c r="E1" s="24" t="s">
        <v>489</v>
      </c>
      <c r="F1" s="24" t="s">
        <v>490</v>
      </c>
      <c r="G1" s="24" t="s">
        <v>491</v>
      </c>
      <c r="I1" s="25" t="s">
        <v>492</v>
      </c>
    </row>
    <row r="2" spans="1:9" ht="13.5" customHeight="1">
      <c r="A2" s="26" t="s">
        <v>493</v>
      </c>
      <c r="B2" s="26" t="s">
        <v>494</v>
      </c>
      <c r="C2" s="26" t="s">
        <v>495</v>
      </c>
      <c r="D2" s="26" t="s">
        <v>496</v>
      </c>
      <c r="E2" s="26" t="s">
        <v>497</v>
      </c>
      <c r="F2" s="26" t="s">
        <v>498</v>
      </c>
      <c r="G2" s="26" t="s">
        <v>499</v>
      </c>
      <c r="I2" s="18" t="s">
        <v>494</v>
      </c>
    </row>
    <row r="3" spans="1:9" ht="13.5" customHeight="1">
      <c r="A3" s="26" t="s">
        <v>500</v>
      </c>
      <c r="B3" s="26" t="s">
        <v>501</v>
      </c>
      <c r="C3" s="26" t="s">
        <v>495</v>
      </c>
      <c r="D3" s="26" t="s">
        <v>502</v>
      </c>
      <c r="E3" s="26" t="s">
        <v>503</v>
      </c>
      <c r="F3" s="26" t="s">
        <v>504</v>
      </c>
      <c r="G3" s="26" t="s">
        <v>505</v>
      </c>
      <c r="I3" s="18" t="s">
        <v>501</v>
      </c>
    </row>
    <row r="4" spans="1:9" ht="13.5" customHeight="1">
      <c r="A4" s="26" t="s">
        <v>506</v>
      </c>
      <c r="B4" s="26" t="s">
        <v>507</v>
      </c>
      <c r="C4" s="26" t="s">
        <v>495</v>
      </c>
      <c r="D4" s="26" t="s">
        <v>508</v>
      </c>
      <c r="E4" s="26" t="s">
        <v>509</v>
      </c>
      <c r="F4" s="26" t="s">
        <v>510</v>
      </c>
      <c r="G4" s="27" t="s">
        <v>511</v>
      </c>
      <c r="I4" s="18" t="s">
        <v>507</v>
      </c>
    </row>
    <row r="5" spans="1:9" ht="13.5" customHeight="1">
      <c r="A5" s="26" t="s">
        <v>512</v>
      </c>
      <c r="B5" s="26" t="s">
        <v>513</v>
      </c>
      <c r="C5" s="26" t="s">
        <v>495</v>
      </c>
      <c r="D5" s="26" t="s">
        <v>514</v>
      </c>
      <c r="E5" s="26" t="s">
        <v>515</v>
      </c>
      <c r="F5" s="26" t="s">
        <v>516</v>
      </c>
      <c r="G5" s="26" t="s">
        <v>517</v>
      </c>
      <c r="I5" s="18" t="s">
        <v>513</v>
      </c>
    </row>
    <row r="6" spans="1:9" ht="13.5" customHeight="1">
      <c r="A6" s="26" t="s">
        <v>518</v>
      </c>
      <c r="B6" s="26" t="s">
        <v>519</v>
      </c>
      <c r="C6" s="27" t="s">
        <v>495</v>
      </c>
      <c r="D6" s="26" t="s">
        <v>520</v>
      </c>
      <c r="E6" s="26" t="s">
        <v>515</v>
      </c>
      <c r="F6" s="26" t="s">
        <v>521</v>
      </c>
      <c r="G6" s="26" t="s">
        <v>522</v>
      </c>
      <c r="I6" s="18" t="s">
        <v>519</v>
      </c>
    </row>
    <row r="7" spans="1:9" ht="13.5" customHeight="1">
      <c r="A7" s="28" t="s">
        <v>523</v>
      </c>
      <c r="B7" s="28" t="s">
        <v>524</v>
      </c>
      <c r="C7" s="28" t="s">
        <v>525</v>
      </c>
      <c r="D7" s="28" t="s">
        <v>526</v>
      </c>
      <c r="E7" s="28" t="s">
        <v>526</v>
      </c>
      <c r="F7" s="28" t="s">
        <v>527</v>
      </c>
      <c r="G7" s="28" t="s">
        <v>528</v>
      </c>
      <c r="I7" s="18" t="s">
        <v>529</v>
      </c>
    </row>
    <row r="8" spans="1:9" ht="13.5" customHeight="1">
      <c r="A8" s="28" t="s">
        <v>530</v>
      </c>
      <c r="B8" s="28" t="s">
        <v>524</v>
      </c>
      <c r="C8" s="28" t="s">
        <v>525</v>
      </c>
      <c r="D8" s="28" t="s">
        <v>526</v>
      </c>
      <c r="E8" s="28" t="s">
        <v>526</v>
      </c>
      <c r="F8" s="28" t="s">
        <v>527</v>
      </c>
      <c r="G8" s="28" t="s">
        <v>528</v>
      </c>
      <c r="I8" s="18" t="s">
        <v>531</v>
      </c>
    </row>
    <row r="9" spans="1:9" ht="22.5" customHeight="1">
      <c r="A9" s="26" t="s">
        <v>532</v>
      </c>
      <c r="B9" s="26" t="s">
        <v>529</v>
      </c>
      <c r="C9" s="26" t="s">
        <v>495</v>
      </c>
      <c r="D9" s="27" t="s">
        <v>533</v>
      </c>
      <c r="E9" s="26" t="s">
        <v>534</v>
      </c>
      <c r="F9" s="26" t="s">
        <v>535</v>
      </c>
      <c r="G9" s="26" t="s">
        <v>536</v>
      </c>
      <c r="I9" s="18" t="s">
        <v>537</v>
      </c>
    </row>
    <row r="10" spans="1:9" ht="13.5" customHeight="1">
      <c r="A10" s="26" t="s">
        <v>538</v>
      </c>
      <c r="B10" s="26" t="s">
        <v>531</v>
      </c>
      <c r="C10" s="26" t="s">
        <v>495</v>
      </c>
      <c r="D10" s="26" t="s">
        <v>539</v>
      </c>
      <c r="E10" s="26" t="s">
        <v>540</v>
      </c>
      <c r="F10" s="26" t="s">
        <v>541</v>
      </c>
      <c r="G10" s="26" t="s">
        <v>542</v>
      </c>
      <c r="I10" s="18" t="s">
        <v>543</v>
      </c>
    </row>
    <row r="11" spans="1:9" ht="13.5" customHeight="1">
      <c r="A11" s="28" t="s">
        <v>544</v>
      </c>
      <c r="B11" s="28" t="s">
        <v>524</v>
      </c>
      <c r="C11" s="28" t="s">
        <v>525</v>
      </c>
      <c r="D11" s="28" t="s">
        <v>526</v>
      </c>
      <c r="E11" s="28" t="s">
        <v>526</v>
      </c>
      <c r="F11" s="28" t="s">
        <v>527</v>
      </c>
      <c r="G11" s="28" t="s">
        <v>545</v>
      </c>
      <c r="I11" s="18" t="s">
        <v>546</v>
      </c>
    </row>
    <row r="12" spans="1:9" ht="13.5" customHeight="1">
      <c r="A12" s="28" t="s">
        <v>547</v>
      </c>
      <c r="B12" s="28" t="s">
        <v>524</v>
      </c>
      <c r="C12" s="28" t="s">
        <v>525</v>
      </c>
      <c r="D12" s="28" t="s">
        <v>526</v>
      </c>
      <c r="E12" s="28" t="s">
        <v>526</v>
      </c>
      <c r="F12" s="28" t="s">
        <v>527</v>
      </c>
      <c r="G12" s="28" t="s">
        <v>545</v>
      </c>
      <c r="I12" s="18" t="s">
        <v>548</v>
      </c>
    </row>
    <row r="13" spans="1:9" ht="25.5" customHeight="1">
      <c r="A13" s="29" t="s">
        <v>549</v>
      </c>
      <c r="B13" s="29" t="s">
        <v>537</v>
      </c>
      <c r="C13" s="29" t="s">
        <v>550</v>
      </c>
      <c r="D13" s="29" t="s">
        <v>551</v>
      </c>
      <c r="E13" s="29" t="s">
        <v>552</v>
      </c>
      <c r="F13" s="29" t="s">
        <v>553</v>
      </c>
      <c r="G13" s="29" t="s">
        <v>554</v>
      </c>
      <c r="I13" s="18" t="s">
        <v>555</v>
      </c>
    </row>
    <row r="14" spans="1:9" ht="13.5" customHeight="1">
      <c r="A14" s="29" t="s">
        <v>556</v>
      </c>
      <c r="B14" s="29" t="s">
        <v>543</v>
      </c>
      <c r="C14" s="29" t="s">
        <v>550</v>
      </c>
      <c r="D14" s="29" t="s">
        <v>557</v>
      </c>
      <c r="E14" s="29" t="s">
        <v>558</v>
      </c>
      <c r="F14" s="29" t="s">
        <v>559</v>
      </c>
      <c r="G14" s="29" t="s">
        <v>560</v>
      </c>
      <c r="I14" s="18" t="s">
        <v>561</v>
      </c>
    </row>
    <row r="15" spans="1:9" ht="25.5" customHeight="1">
      <c r="A15" s="26" t="s">
        <v>562</v>
      </c>
      <c r="B15" s="26" t="s">
        <v>546</v>
      </c>
      <c r="C15" s="26" t="s">
        <v>495</v>
      </c>
      <c r="D15" s="26" t="s">
        <v>563</v>
      </c>
      <c r="E15" s="26" t="s">
        <v>564</v>
      </c>
      <c r="F15" s="26" t="s">
        <v>565</v>
      </c>
      <c r="G15" s="26" t="s">
        <v>566</v>
      </c>
      <c r="I15" s="18" t="s">
        <v>567</v>
      </c>
    </row>
    <row r="16" spans="1:9" ht="13.5" customHeight="1">
      <c r="A16" s="26" t="s">
        <v>568</v>
      </c>
      <c r="B16" s="26" t="s">
        <v>548</v>
      </c>
      <c r="C16" s="26" t="s">
        <v>495</v>
      </c>
      <c r="D16" s="26" t="s">
        <v>569</v>
      </c>
      <c r="E16" s="26" t="s">
        <v>570</v>
      </c>
      <c r="F16" s="26" t="s">
        <v>571</v>
      </c>
      <c r="G16" s="26" t="s">
        <v>572</v>
      </c>
      <c r="I16" s="18" t="s">
        <v>573</v>
      </c>
    </row>
    <row r="17" spans="1:9" ht="25.5" customHeight="1">
      <c r="A17" s="26" t="s">
        <v>526</v>
      </c>
      <c r="B17" s="26" t="s">
        <v>555</v>
      </c>
      <c r="C17" s="26" t="s">
        <v>495</v>
      </c>
      <c r="D17" s="26" t="s">
        <v>574</v>
      </c>
      <c r="E17" s="26" t="s">
        <v>575</v>
      </c>
      <c r="F17" s="26" t="s">
        <v>576</v>
      </c>
      <c r="G17" s="26" t="s">
        <v>577</v>
      </c>
      <c r="I17" s="18" t="s">
        <v>578</v>
      </c>
    </row>
    <row r="18" spans="1:9" ht="13.5" customHeight="1">
      <c r="A18" s="29" t="s">
        <v>526</v>
      </c>
      <c r="B18" s="29" t="s">
        <v>561</v>
      </c>
      <c r="C18" s="29" t="s">
        <v>550</v>
      </c>
      <c r="D18" s="29" t="s">
        <v>574</v>
      </c>
      <c r="E18" s="29" t="s">
        <v>579</v>
      </c>
      <c r="F18" s="29" t="s">
        <v>580</v>
      </c>
      <c r="G18" s="29" t="s">
        <v>581</v>
      </c>
      <c r="I18" s="18" t="s">
        <v>582</v>
      </c>
    </row>
    <row r="19" spans="1:9" ht="13.5" customHeight="1">
      <c r="A19" s="26" t="s">
        <v>526</v>
      </c>
      <c r="B19" s="26" t="s">
        <v>567</v>
      </c>
      <c r="C19" s="26" t="s">
        <v>495</v>
      </c>
      <c r="D19" s="26" t="s">
        <v>574</v>
      </c>
      <c r="E19" s="26" t="s">
        <v>583</v>
      </c>
      <c r="F19" s="26" t="s">
        <v>584</v>
      </c>
      <c r="G19" s="26" t="s">
        <v>585</v>
      </c>
      <c r="I19" s="18" t="s">
        <v>586</v>
      </c>
    </row>
    <row r="20" spans="1:9" ht="13.5" customHeight="1">
      <c r="A20" s="29" t="s">
        <v>526</v>
      </c>
      <c r="B20" s="29" t="s">
        <v>573</v>
      </c>
      <c r="C20" s="29" t="s">
        <v>550</v>
      </c>
      <c r="D20" s="29" t="s">
        <v>587</v>
      </c>
      <c r="E20" s="29" t="s">
        <v>525</v>
      </c>
      <c r="F20" s="29" t="s">
        <v>588</v>
      </c>
      <c r="G20" s="29" t="s">
        <v>589</v>
      </c>
      <c r="I20" s="18" t="s">
        <v>590</v>
      </c>
    </row>
    <row r="21" spans="1:9" ht="13.5" customHeight="1">
      <c r="A21" s="29" t="s">
        <v>526</v>
      </c>
      <c r="B21" s="29" t="s">
        <v>578</v>
      </c>
      <c r="C21" s="29" t="s">
        <v>550</v>
      </c>
      <c r="D21" s="29" t="s">
        <v>591</v>
      </c>
      <c r="E21" s="29" t="s">
        <v>592</v>
      </c>
      <c r="F21" s="29" t="s">
        <v>593</v>
      </c>
      <c r="G21" s="29" t="s">
        <v>594</v>
      </c>
      <c r="I21" s="18" t="s">
        <v>595</v>
      </c>
    </row>
    <row r="22" spans="1:9" ht="13.5" customHeight="1">
      <c r="A22" s="29" t="s">
        <v>526</v>
      </c>
      <c r="B22" s="29" t="s">
        <v>582</v>
      </c>
      <c r="C22" s="29" t="s">
        <v>550</v>
      </c>
      <c r="D22" s="29" t="s">
        <v>557</v>
      </c>
      <c r="E22" s="29" t="s">
        <v>596</v>
      </c>
      <c r="F22" s="29" t="s">
        <v>597</v>
      </c>
      <c r="G22" s="29" t="s">
        <v>598</v>
      </c>
      <c r="I22" s="18" t="s">
        <v>599</v>
      </c>
    </row>
    <row r="23" spans="1:9" ht="25.5" customHeight="1">
      <c r="A23" s="30" t="s">
        <v>526</v>
      </c>
      <c r="B23" s="30" t="s">
        <v>586</v>
      </c>
      <c r="C23" s="30" t="s">
        <v>600</v>
      </c>
      <c r="D23" s="30" t="s">
        <v>601</v>
      </c>
      <c r="E23" s="30" t="s">
        <v>602</v>
      </c>
      <c r="F23" s="30" t="s">
        <v>603</v>
      </c>
      <c r="G23" s="30" t="s">
        <v>604</v>
      </c>
      <c r="I23" s="18" t="s">
        <v>605</v>
      </c>
    </row>
    <row r="24" spans="1:9" ht="13.5" customHeight="1">
      <c r="A24" s="30" t="s">
        <v>526</v>
      </c>
      <c r="B24" s="30" t="s">
        <v>590</v>
      </c>
      <c r="C24" s="30" t="s">
        <v>600</v>
      </c>
      <c r="D24" s="30" t="s">
        <v>606</v>
      </c>
      <c r="E24" s="30" t="s">
        <v>602</v>
      </c>
      <c r="F24" s="30" t="s">
        <v>607</v>
      </c>
      <c r="G24" s="30" t="s">
        <v>608</v>
      </c>
      <c r="I24" s="18" t="s">
        <v>609</v>
      </c>
    </row>
    <row r="25" spans="1:9" ht="13.5" customHeight="1">
      <c r="A25" s="29" t="s">
        <v>526</v>
      </c>
      <c r="B25" s="29" t="s">
        <v>595</v>
      </c>
      <c r="C25" s="29" t="s">
        <v>550</v>
      </c>
      <c r="D25" s="29" t="s">
        <v>610</v>
      </c>
      <c r="E25" s="29" t="s">
        <v>525</v>
      </c>
      <c r="F25" s="29" t="s">
        <v>611</v>
      </c>
      <c r="G25" s="29" t="s">
        <v>612</v>
      </c>
      <c r="I25" s="18" t="s">
        <v>613</v>
      </c>
    </row>
    <row r="26" spans="1:9" ht="13.5" customHeight="1">
      <c r="A26" s="30" t="s">
        <v>526</v>
      </c>
      <c r="B26" s="30" t="s">
        <v>599</v>
      </c>
      <c r="C26" s="30" t="s">
        <v>600</v>
      </c>
      <c r="D26" s="30" t="s">
        <v>614</v>
      </c>
      <c r="E26" s="30" t="s">
        <v>615</v>
      </c>
      <c r="F26" s="30" t="s">
        <v>616</v>
      </c>
      <c r="G26" s="30" t="s">
        <v>617</v>
      </c>
      <c r="I26" s="18" t="s">
        <v>618</v>
      </c>
    </row>
    <row r="27" spans="1:9" ht="13.5" customHeight="1">
      <c r="A27" s="29" t="s">
        <v>526</v>
      </c>
      <c r="B27" s="29" t="s">
        <v>605</v>
      </c>
      <c r="C27" s="29" t="s">
        <v>550</v>
      </c>
      <c r="D27" s="29" t="s">
        <v>610</v>
      </c>
      <c r="E27" s="29" t="s">
        <v>525</v>
      </c>
      <c r="F27" s="29" t="s">
        <v>619</v>
      </c>
      <c r="G27" s="29" t="s">
        <v>620</v>
      </c>
      <c r="I27" s="18" t="s">
        <v>621</v>
      </c>
    </row>
    <row r="28" spans="1:9" ht="25.5" customHeight="1">
      <c r="A28" s="28" t="s">
        <v>526</v>
      </c>
      <c r="B28" s="28" t="s">
        <v>609</v>
      </c>
      <c r="C28" s="28" t="s">
        <v>622</v>
      </c>
      <c r="D28" s="28" t="s">
        <v>574</v>
      </c>
      <c r="E28" s="28" t="s">
        <v>558</v>
      </c>
      <c r="F28" s="28" t="s">
        <v>623</v>
      </c>
      <c r="G28" s="28" t="s">
        <v>624</v>
      </c>
    </row>
    <row r="29" spans="1:9" ht="25.5" customHeight="1">
      <c r="A29" s="26" t="s">
        <v>625</v>
      </c>
      <c r="B29" s="26" t="s">
        <v>613</v>
      </c>
      <c r="C29" s="26" t="s">
        <v>495</v>
      </c>
      <c r="D29" s="26" t="s">
        <v>563</v>
      </c>
      <c r="E29" s="26" t="s">
        <v>564</v>
      </c>
      <c r="F29" s="26" t="s">
        <v>626</v>
      </c>
      <c r="G29" s="26" t="s">
        <v>627</v>
      </c>
    </row>
    <row r="30" spans="1:9" ht="25.5" customHeight="1">
      <c r="A30" s="26" t="s">
        <v>628</v>
      </c>
      <c r="B30" s="26" t="s">
        <v>618</v>
      </c>
      <c r="C30" s="26" t="s">
        <v>495</v>
      </c>
      <c r="D30" s="26" t="s">
        <v>563</v>
      </c>
      <c r="E30" s="26" t="s">
        <v>564</v>
      </c>
      <c r="F30" s="26" t="s">
        <v>629</v>
      </c>
      <c r="G30" s="26" t="s">
        <v>630</v>
      </c>
    </row>
    <row r="31" spans="1:9" ht="13.5" customHeight="1">
      <c r="A31" s="28" t="s">
        <v>631</v>
      </c>
      <c r="B31" s="28" t="s">
        <v>621</v>
      </c>
      <c r="C31" s="28" t="s">
        <v>632</v>
      </c>
      <c r="D31" s="28" t="s">
        <v>633</v>
      </c>
      <c r="E31" s="28" t="s">
        <v>634</v>
      </c>
      <c r="F31" s="28" t="s">
        <v>635</v>
      </c>
      <c r="G31" s="28" t="s">
        <v>636</v>
      </c>
    </row>
  </sheetData>
  <autoFilter ref="A1:G31" xr:uid="{00000000-0009-0000-0000-000004000000}"/>
  <pageMargins left="0.75" right="0.75" top="1" bottom="1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O129"/>
  <sheetViews>
    <sheetView showGridLines="0" zoomScaleNormal="100" workbookViewId="0">
      <pane ySplit="2" topLeftCell="A3" activePane="bottomLeft" state="frozen"/>
      <selection pane="bottomLeft" activeCell="E14" sqref="E14"/>
    </sheetView>
  </sheetViews>
  <sheetFormatPr baseColWidth="10" defaultColWidth="8.5" defaultRowHeight="14"/>
  <cols>
    <col min="1" max="1" width="12.83203125" customWidth="1"/>
    <col min="2" max="2" width="55" customWidth="1"/>
    <col min="3" max="3" width="15.6640625" customWidth="1"/>
    <col min="4" max="5" width="14.1640625" customWidth="1"/>
    <col min="7" max="7" width="11.5" customWidth="1"/>
    <col min="8" max="8" width="12.83203125" customWidth="1"/>
    <col min="9" max="10" width="16" customWidth="1"/>
  </cols>
  <sheetData>
    <row r="1" spans="1:10" ht="15" customHeight="1">
      <c r="A1" s="31" t="s">
        <v>637</v>
      </c>
      <c r="K1" s="32" t="s">
        <v>2570</v>
      </c>
      <c r="L1" s="32" t="s">
        <v>2571</v>
      </c>
      <c r="M1" s="32" t="s">
        <v>2572</v>
      </c>
      <c r="N1" s="32" t="s">
        <v>2573</v>
      </c>
      <c r="O1" s="32" t="s">
        <v>2574</v>
      </c>
    </row>
    <row r="2" spans="1:10" ht="39" customHeight="1">
      <c r="A2" s="32" t="s">
        <v>638</v>
      </c>
      <c r="B2" s="32" t="s">
        <v>639</v>
      </c>
      <c r="C2" s="32" t="s">
        <v>640</v>
      </c>
      <c r="D2" s="32" t="s">
        <v>641</v>
      </c>
      <c r="E2" s="32" t="s">
        <v>642</v>
      </c>
      <c r="F2" s="32" t="s">
        <v>643</v>
      </c>
      <c r="G2" s="32" t="s">
        <v>644</v>
      </c>
      <c r="H2" s="32" t="s">
        <v>645</v>
      </c>
      <c r="I2" s="33" t="s">
        <v>303</v>
      </c>
      <c r="J2" s="34" t="s">
        <v>646</v>
      </c>
      <c r="K2" s="1" t="s">
        <v>2462</v>
      </c>
      <c r="L2" s="1">
        <v>4</v>
      </c>
      <c r="M2" s="1">
        <v>0.25</v>
      </c>
      <c r="N2" s="1">
        <v>1</v>
      </c>
      <c r="O2" s="1">
        <v>12</v>
      </c>
    </row>
    <row r="3" spans="1:10" ht="13.5" customHeight="1">
      <c r="A3" s="35" t="s">
        <v>647</v>
      </c>
      <c r="B3" s="61" t="s">
        <v>648</v>
      </c>
      <c r="C3" s="61"/>
      <c r="D3" s="61"/>
      <c r="E3" s="61"/>
      <c r="F3" s="61"/>
      <c r="G3" s="61"/>
      <c r="H3" s="61"/>
      <c r="I3" s="61"/>
      <c r="K3" s="1" t="s">
        <v>2463</v>
      </c>
      <c r="L3" s="1">
        <v>3.5</v>
      </c>
      <c r="M3" s="1">
        <v>0.2</v>
      </c>
      <c r="N3" s="1">
        <v>0.8</v>
      </c>
      <c r="O3" s="1">
        <v>8</v>
      </c>
    </row>
    <row r="4" spans="1:10" ht="13.5" customHeight="1">
      <c r="A4" s="35" t="s">
        <v>649</v>
      </c>
      <c r="B4" s="61" t="s">
        <v>650</v>
      </c>
      <c r="C4" s="61"/>
      <c r="D4" s="61"/>
      <c r="E4" s="61"/>
      <c r="F4" s="61"/>
      <c r="G4" s="61"/>
      <c r="H4" s="61"/>
      <c r="I4" s="61"/>
      <c r="K4" s="1" t="s">
        <v>2464</v>
      </c>
      <c r="L4" s="1">
        <v>2.5</v>
      </c>
      <c r="M4" s="1">
        <v>0.1</v>
      </c>
      <c r="N4" s="1">
        <v>0.3</v>
      </c>
      <c r="O4" s="1">
        <v>4</v>
      </c>
    </row>
    <row r="5" spans="1:10" ht="13.5" customHeight="1">
      <c r="A5" s="36" t="s">
        <v>651</v>
      </c>
      <c r="B5" s="36" t="s">
        <v>652</v>
      </c>
      <c r="C5" s="36">
        <v>4</v>
      </c>
      <c r="D5" s="36">
        <v>0.25</v>
      </c>
      <c r="E5" s="36">
        <v>1</v>
      </c>
      <c r="F5" s="36">
        <v>12</v>
      </c>
      <c r="G5" s="36">
        <v>2500</v>
      </c>
      <c r="H5" s="36">
        <v>10000</v>
      </c>
      <c r="I5" s="37">
        <f>G5*'Currency-Conversion'!$C$10</f>
        <v>7659698624.999999</v>
      </c>
      <c r="J5" s="3">
        <f>H5*'Currency-Conversion'!$C$10</f>
        <v>30638794499.999996</v>
      </c>
      <c r="K5" s="1" t="s">
        <v>2465</v>
      </c>
      <c r="L5" s="1">
        <v>2.5</v>
      </c>
      <c r="M5" s="1">
        <v>0.1</v>
      </c>
      <c r="N5" s="1">
        <v>0.6</v>
      </c>
      <c r="O5" s="1">
        <v>5</v>
      </c>
    </row>
    <row r="6" spans="1:10" ht="13.5" customHeight="1">
      <c r="A6" s="36" t="s">
        <v>651</v>
      </c>
      <c r="B6" s="36" t="s">
        <v>653</v>
      </c>
      <c r="C6" s="36">
        <v>3.5</v>
      </c>
      <c r="D6" s="36">
        <v>0.2</v>
      </c>
      <c r="E6" s="36">
        <v>0.8</v>
      </c>
      <c r="F6" s="36">
        <v>8</v>
      </c>
      <c r="G6" s="36">
        <v>1250</v>
      </c>
      <c r="H6" s="36">
        <v>2500</v>
      </c>
      <c r="I6" s="37">
        <f>G6*'Currency-Conversion'!$C$10</f>
        <v>3829849312.4999995</v>
      </c>
      <c r="J6" s="3">
        <f>H6*'Currency-Conversion'!$C$10</f>
        <v>7659698624.999999</v>
      </c>
      <c r="K6" s="1" t="s">
        <v>2466</v>
      </c>
      <c r="L6" s="1">
        <v>2.7</v>
      </c>
      <c r="M6" s="1">
        <v>0.1</v>
      </c>
      <c r="N6" s="1">
        <v>0.8</v>
      </c>
      <c r="O6" s="1">
        <v>6</v>
      </c>
    </row>
    <row r="7" spans="1:10" ht="13.5" customHeight="1">
      <c r="A7" s="36" t="s">
        <v>654</v>
      </c>
      <c r="B7" s="36" t="s">
        <v>655</v>
      </c>
      <c r="C7" s="36">
        <v>2.5</v>
      </c>
      <c r="D7" s="36">
        <v>0.1</v>
      </c>
      <c r="E7" s="36">
        <v>0.3</v>
      </c>
      <c r="F7" s="36">
        <v>4</v>
      </c>
      <c r="G7" s="36">
        <v>500</v>
      </c>
      <c r="H7" s="36">
        <v>1000</v>
      </c>
      <c r="I7" s="37">
        <f>G7*'Currency-Conversion'!$C$10</f>
        <v>1531939724.9999998</v>
      </c>
      <c r="J7" s="3">
        <f>H7*'Currency-Conversion'!$C$10</f>
        <v>3063879449.9999995</v>
      </c>
      <c r="K7" s="1" t="s">
        <v>2467</v>
      </c>
      <c r="L7" s="1">
        <v>3</v>
      </c>
      <c r="M7" s="1">
        <v>0.15</v>
      </c>
      <c r="N7" s="1">
        <v>0.9</v>
      </c>
      <c r="O7" s="1">
        <v>6</v>
      </c>
    </row>
    <row r="8" spans="1:10" ht="13.5" customHeight="1">
      <c r="A8" s="36" t="s">
        <v>656</v>
      </c>
      <c r="B8" s="36" t="s">
        <v>657</v>
      </c>
      <c r="C8" s="36">
        <v>2.5</v>
      </c>
      <c r="D8" s="36">
        <v>0.1</v>
      </c>
      <c r="E8" s="36">
        <v>0.6</v>
      </c>
      <c r="F8" s="36">
        <v>5</v>
      </c>
      <c r="G8" s="36">
        <v>500</v>
      </c>
      <c r="H8" s="36">
        <v>1000</v>
      </c>
      <c r="I8" s="37">
        <f>G8*'Currency-Conversion'!$C$10</f>
        <v>1531939724.9999998</v>
      </c>
      <c r="J8" s="3">
        <f>H8*'Currency-Conversion'!$C$10</f>
        <v>3063879449.9999995</v>
      </c>
      <c r="K8" s="1" t="s">
        <v>2468</v>
      </c>
      <c r="L8" s="1">
        <v>3.5</v>
      </c>
      <c r="M8" s="1">
        <v>0.15</v>
      </c>
      <c r="N8" s="1">
        <v>1</v>
      </c>
      <c r="O8" s="1">
        <v>8</v>
      </c>
    </row>
    <row r="9" spans="1:10" ht="13.5" customHeight="1">
      <c r="A9" s="36" t="s">
        <v>656</v>
      </c>
      <c r="B9" s="36" t="s">
        <v>658</v>
      </c>
      <c r="C9" s="36">
        <v>2.7</v>
      </c>
      <c r="D9" s="36">
        <v>0.1</v>
      </c>
      <c r="E9" s="36">
        <v>0.8</v>
      </c>
      <c r="F9" s="36">
        <v>6</v>
      </c>
      <c r="G9" s="36">
        <v>500</v>
      </c>
      <c r="H9" s="36">
        <v>1000</v>
      </c>
      <c r="I9" s="37">
        <f>G9*'Currency-Conversion'!$C$10</f>
        <v>1531939724.9999998</v>
      </c>
      <c r="J9" s="3">
        <f>H9*'Currency-Conversion'!$C$10</f>
        <v>3063879449.9999995</v>
      </c>
      <c r="K9" s="1" t="s">
        <v>2469</v>
      </c>
      <c r="L9" s="1">
        <v>4</v>
      </c>
      <c r="M9" s="1">
        <v>0.2</v>
      </c>
      <c r="N9" s="1">
        <v>1</v>
      </c>
      <c r="O9" s="1">
        <v>8</v>
      </c>
    </row>
    <row r="10" spans="1:10" ht="13.5" customHeight="1">
      <c r="A10" s="36" t="s">
        <v>656</v>
      </c>
      <c r="B10" s="36" t="s">
        <v>659</v>
      </c>
      <c r="C10" s="36">
        <v>3</v>
      </c>
      <c r="D10" s="36">
        <v>0.15</v>
      </c>
      <c r="E10" s="36">
        <v>0.9</v>
      </c>
      <c r="F10" s="36">
        <v>6</v>
      </c>
      <c r="G10" s="36">
        <v>500</v>
      </c>
      <c r="H10" s="36">
        <v>1000</v>
      </c>
      <c r="I10" s="37">
        <f>G10*'Currency-Conversion'!$C$10</f>
        <v>1531939724.9999998</v>
      </c>
      <c r="J10" s="3">
        <f>H10*'Currency-Conversion'!$C$10</f>
        <v>3063879449.9999995</v>
      </c>
      <c r="K10" s="1" t="s">
        <v>2470</v>
      </c>
      <c r="L10" s="1">
        <v>3</v>
      </c>
      <c r="M10" s="1">
        <v>0.2</v>
      </c>
      <c r="N10" s="1">
        <v>0.7</v>
      </c>
      <c r="O10" s="1">
        <v>6</v>
      </c>
    </row>
    <row r="11" spans="1:10" ht="13.5" customHeight="1">
      <c r="A11" s="36" t="s">
        <v>656</v>
      </c>
      <c r="B11" s="36" t="s">
        <v>660</v>
      </c>
      <c r="C11" s="36">
        <v>3.5</v>
      </c>
      <c r="D11" s="36">
        <v>0.15</v>
      </c>
      <c r="E11" s="36">
        <v>1</v>
      </c>
      <c r="F11" s="36">
        <v>8</v>
      </c>
      <c r="G11" s="36">
        <v>1000</v>
      </c>
      <c r="H11" s="36">
        <v>2000</v>
      </c>
      <c r="I11" s="37">
        <f>G11*'Currency-Conversion'!$C$10</f>
        <v>3063879449.9999995</v>
      </c>
      <c r="J11" s="3">
        <f>H11*'Currency-Conversion'!$C$10</f>
        <v>6127758899.999999</v>
      </c>
      <c r="K11" s="1" t="s">
        <v>2471</v>
      </c>
      <c r="L11" s="1">
        <v>3.5</v>
      </c>
      <c r="M11" s="1">
        <v>0.25</v>
      </c>
      <c r="N11" s="1">
        <v>1</v>
      </c>
      <c r="O11" s="1">
        <v>6</v>
      </c>
    </row>
    <row r="12" spans="1:10" ht="13.5" customHeight="1">
      <c r="A12" s="36" t="s">
        <v>656</v>
      </c>
      <c r="B12" s="36" t="s">
        <v>661</v>
      </c>
      <c r="C12" s="36">
        <v>4</v>
      </c>
      <c r="D12" s="36">
        <v>0.2</v>
      </c>
      <c r="E12" s="36">
        <v>1</v>
      </c>
      <c r="F12" s="36">
        <v>8</v>
      </c>
      <c r="G12" s="36">
        <v>2500</v>
      </c>
      <c r="H12" s="36">
        <v>5000</v>
      </c>
      <c r="I12" s="37">
        <f>G12*'Currency-Conversion'!$C$10</f>
        <v>7659698624.999999</v>
      </c>
      <c r="J12" s="3">
        <f>H12*'Currency-Conversion'!$C$10</f>
        <v>15319397249.999998</v>
      </c>
      <c r="K12" s="1" t="s">
        <v>2472</v>
      </c>
      <c r="L12" s="1">
        <v>3</v>
      </c>
      <c r="M12" s="1">
        <v>0.25</v>
      </c>
      <c r="N12" s="1">
        <v>0.8</v>
      </c>
      <c r="O12" s="1">
        <v>10</v>
      </c>
    </row>
    <row r="13" spans="1:10" ht="13.5" customHeight="1">
      <c r="A13" s="36" t="s">
        <v>662</v>
      </c>
      <c r="B13" s="36" t="s">
        <v>663</v>
      </c>
      <c r="C13" s="36">
        <v>3</v>
      </c>
      <c r="D13" s="36">
        <v>0.2</v>
      </c>
      <c r="E13" s="36">
        <v>0.7</v>
      </c>
      <c r="F13" s="36">
        <v>6</v>
      </c>
      <c r="G13" s="36">
        <v>1000</v>
      </c>
      <c r="H13" s="36">
        <v>2000</v>
      </c>
      <c r="I13" s="37">
        <f>G13*'Currency-Conversion'!$C$10</f>
        <v>3063879449.9999995</v>
      </c>
      <c r="J13" s="3">
        <f>H13*'Currency-Conversion'!$C$10</f>
        <v>6127758899.999999</v>
      </c>
      <c r="K13" s="1" t="s">
        <v>2473</v>
      </c>
      <c r="L13" s="1">
        <v>3.3</v>
      </c>
      <c r="M13" s="1">
        <v>0.25</v>
      </c>
      <c r="N13" s="1">
        <v>0.7</v>
      </c>
      <c r="O13" s="1">
        <v>6</v>
      </c>
    </row>
    <row r="14" spans="1:10" ht="13.5" customHeight="1">
      <c r="A14" s="36" t="s">
        <v>662</v>
      </c>
      <c r="B14" s="36" t="s">
        <v>664</v>
      </c>
      <c r="C14" s="36">
        <v>3.5</v>
      </c>
      <c r="D14" s="36">
        <v>0.25</v>
      </c>
      <c r="E14" s="36">
        <v>1</v>
      </c>
      <c r="F14" s="36">
        <v>6</v>
      </c>
      <c r="G14" s="36">
        <v>2000</v>
      </c>
      <c r="H14" s="36">
        <v>4000</v>
      </c>
      <c r="I14" s="37">
        <f>G14*'Currency-Conversion'!$C$10</f>
        <v>6127758899.999999</v>
      </c>
      <c r="J14" s="3">
        <f>H14*'Currency-Conversion'!$C$10</f>
        <v>12255517799.999998</v>
      </c>
      <c r="K14" s="1" t="s">
        <v>2474</v>
      </c>
      <c r="L14" s="1">
        <v>3.5</v>
      </c>
      <c r="M14" s="1">
        <v>0.3</v>
      </c>
      <c r="N14" s="1">
        <v>1</v>
      </c>
      <c r="O14" s="1">
        <v>8</v>
      </c>
    </row>
    <row r="15" spans="1:10" ht="13.5" customHeight="1">
      <c r="A15" s="36" t="s">
        <v>665</v>
      </c>
      <c r="B15" s="36" t="s">
        <v>666</v>
      </c>
      <c r="C15" s="36">
        <v>3</v>
      </c>
      <c r="D15" s="36">
        <v>0.25</v>
      </c>
      <c r="E15" s="36">
        <v>0.8</v>
      </c>
      <c r="F15" s="36">
        <v>10</v>
      </c>
      <c r="G15" s="36">
        <v>1000</v>
      </c>
      <c r="H15" s="36">
        <v>2000</v>
      </c>
      <c r="I15" s="37">
        <f>G15*'Currency-Conversion'!$C$10</f>
        <v>3063879449.9999995</v>
      </c>
      <c r="J15" s="3">
        <f>H15*'Currency-Conversion'!$C$10</f>
        <v>6127758899.999999</v>
      </c>
      <c r="K15" s="1" t="s">
        <v>2475</v>
      </c>
      <c r="L15" s="1">
        <v>3.7</v>
      </c>
      <c r="M15" s="1">
        <v>0.2</v>
      </c>
      <c r="N15" s="1">
        <v>0.75</v>
      </c>
      <c r="O15" s="1">
        <v>10</v>
      </c>
    </row>
    <row r="16" spans="1:10" ht="13.5" customHeight="1">
      <c r="A16" s="36" t="s">
        <v>665</v>
      </c>
      <c r="B16" s="36" t="s">
        <v>667</v>
      </c>
      <c r="C16" s="36">
        <v>3.3</v>
      </c>
      <c r="D16" s="36">
        <v>0.25</v>
      </c>
      <c r="E16" s="36">
        <v>0.7</v>
      </c>
      <c r="F16" s="36">
        <v>6</v>
      </c>
      <c r="G16" s="36">
        <v>1000</v>
      </c>
      <c r="H16" s="36">
        <v>2000</v>
      </c>
      <c r="I16" s="37">
        <f>G16*'Currency-Conversion'!$C$10</f>
        <v>3063879449.9999995</v>
      </c>
      <c r="J16" s="3">
        <f>H16*'Currency-Conversion'!$C$10</f>
        <v>6127758899.999999</v>
      </c>
      <c r="K16" s="1" t="s">
        <v>2476</v>
      </c>
      <c r="L16" s="1">
        <v>4</v>
      </c>
      <c r="M16" s="1">
        <v>0.25</v>
      </c>
      <c r="N16" s="1">
        <v>1</v>
      </c>
      <c r="O16" s="1">
        <v>15</v>
      </c>
    </row>
    <row r="17" spans="1:10" ht="13.5" customHeight="1">
      <c r="A17" s="36" t="s">
        <v>665</v>
      </c>
      <c r="B17" s="36" t="s">
        <v>668</v>
      </c>
      <c r="C17" s="36">
        <v>3.5</v>
      </c>
      <c r="D17" s="36">
        <v>0.3</v>
      </c>
      <c r="E17" s="36">
        <v>1</v>
      </c>
      <c r="F17" s="36">
        <v>8</v>
      </c>
      <c r="G17" s="36">
        <v>2000</v>
      </c>
      <c r="H17" s="36">
        <v>4000</v>
      </c>
      <c r="I17" s="37">
        <f>G17*'Currency-Conversion'!$C$10</f>
        <v>6127758899.999999</v>
      </c>
      <c r="J17" s="3">
        <f>H17*'Currency-Conversion'!$C$10</f>
        <v>12255517799.999998</v>
      </c>
      <c r="K17" s="1" t="s">
        <v>2477</v>
      </c>
      <c r="L17" s="1">
        <v>3.7</v>
      </c>
      <c r="M17" s="1">
        <v>0.2</v>
      </c>
      <c r="N17" s="1">
        <v>0.75</v>
      </c>
      <c r="O17" s="1">
        <v>12</v>
      </c>
    </row>
    <row r="18" spans="1:10" ht="13.5" customHeight="1">
      <c r="A18" s="36" t="s">
        <v>669</v>
      </c>
      <c r="B18" s="36" t="s">
        <v>670</v>
      </c>
      <c r="C18" s="36">
        <v>3.7</v>
      </c>
      <c r="D18" s="36">
        <v>0.2</v>
      </c>
      <c r="E18" s="36">
        <v>0.75</v>
      </c>
      <c r="F18" s="36">
        <v>10</v>
      </c>
      <c r="G18" s="36">
        <v>500</v>
      </c>
      <c r="H18" s="36">
        <v>1000</v>
      </c>
      <c r="I18" s="37">
        <f>G18*'Currency-Conversion'!$C$10</f>
        <v>1531939724.9999998</v>
      </c>
      <c r="J18" s="3">
        <f>H18*'Currency-Conversion'!$C$10</f>
        <v>3063879449.9999995</v>
      </c>
      <c r="K18" s="1" t="s">
        <v>2478</v>
      </c>
      <c r="L18" s="1">
        <v>3.5</v>
      </c>
      <c r="M18" s="1">
        <v>0.2</v>
      </c>
      <c r="N18" s="1">
        <v>0.75</v>
      </c>
      <c r="O18" s="1">
        <v>10</v>
      </c>
    </row>
    <row r="19" spans="1:10" ht="13.5" customHeight="1">
      <c r="A19" s="36" t="s">
        <v>669</v>
      </c>
      <c r="B19" s="36" t="s">
        <v>671</v>
      </c>
      <c r="C19" s="36">
        <v>4</v>
      </c>
      <c r="D19" s="36">
        <v>0.25</v>
      </c>
      <c r="E19" s="36">
        <v>1</v>
      </c>
      <c r="F19" s="36">
        <v>15</v>
      </c>
      <c r="G19" s="36">
        <v>2500</v>
      </c>
      <c r="H19" s="36">
        <v>5000</v>
      </c>
      <c r="I19" s="37">
        <f>G19*'Currency-Conversion'!$C$10</f>
        <v>7659698624.999999</v>
      </c>
      <c r="J19" s="3">
        <f>H19*'Currency-Conversion'!$C$10</f>
        <v>15319397249.999998</v>
      </c>
      <c r="K19" s="1" t="s">
        <v>2479</v>
      </c>
      <c r="L19" s="1">
        <v>2.5</v>
      </c>
      <c r="M19" s="1">
        <v>0.2</v>
      </c>
      <c r="N19" s="1">
        <v>0.4</v>
      </c>
      <c r="O19" s="1">
        <v>5</v>
      </c>
    </row>
    <row r="20" spans="1:10" ht="13.5" customHeight="1">
      <c r="A20" s="36" t="s">
        <v>669</v>
      </c>
      <c r="B20" s="36" t="s">
        <v>672</v>
      </c>
      <c r="C20" s="36">
        <v>3.7</v>
      </c>
      <c r="D20" s="36">
        <v>0.2</v>
      </c>
      <c r="E20" s="36">
        <v>0.75</v>
      </c>
      <c r="F20" s="36">
        <v>12</v>
      </c>
      <c r="G20" s="36">
        <v>1250</v>
      </c>
      <c r="H20" s="36">
        <v>2500</v>
      </c>
      <c r="I20" s="37">
        <f>G20*'Currency-Conversion'!$C$10</f>
        <v>3829849312.4999995</v>
      </c>
      <c r="J20" s="3">
        <f>H20*'Currency-Conversion'!$C$10</f>
        <v>7659698624.999999</v>
      </c>
      <c r="K20" s="1" t="s">
        <v>2480</v>
      </c>
      <c r="L20" s="1">
        <v>4</v>
      </c>
      <c r="M20" s="1">
        <v>0.3</v>
      </c>
      <c r="N20" s="1">
        <v>1</v>
      </c>
      <c r="O20" s="1">
        <v>15</v>
      </c>
    </row>
    <row r="21" spans="1:10" ht="13.5" customHeight="1">
      <c r="A21" s="36" t="s">
        <v>673</v>
      </c>
      <c r="B21" s="36" t="s">
        <v>674</v>
      </c>
      <c r="C21" s="36">
        <v>3.5</v>
      </c>
      <c r="D21" s="36">
        <v>0.2</v>
      </c>
      <c r="E21" s="36">
        <v>0.75</v>
      </c>
      <c r="F21" s="36">
        <v>10</v>
      </c>
      <c r="G21" s="36">
        <v>500</v>
      </c>
      <c r="H21" s="36">
        <v>1000</v>
      </c>
      <c r="I21" s="37">
        <f>G21*'Currency-Conversion'!$C$10</f>
        <v>1531939724.9999998</v>
      </c>
      <c r="J21" s="3">
        <f>H21*'Currency-Conversion'!$C$10</f>
        <v>3063879449.9999995</v>
      </c>
      <c r="K21" s="1" t="s">
        <v>2481</v>
      </c>
      <c r="L21" s="1">
        <v>3.5</v>
      </c>
      <c r="M21" s="1">
        <v>0.25</v>
      </c>
      <c r="N21" s="1">
        <v>1.5</v>
      </c>
      <c r="O21" s="1">
        <v>25</v>
      </c>
    </row>
    <row r="22" spans="1:10" ht="13.5" customHeight="1">
      <c r="A22" s="36" t="s">
        <v>675</v>
      </c>
      <c r="B22" s="36" t="s">
        <v>676</v>
      </c>
      <c r="C22" s="36">
        <v>2.5</v>
      </c>
      <c r="D22" s="36">
        <v>0.2</v>
      </c>
      <c r="E22" s="36">
        <v>0.4</v>
      </c>
      <c r="F22" s="36">
        <v>5</v>
      </c>
      <c r="G22" s="36">
        <v>500</v>
      </c>
      <c r="H22" s="36">
        <v>1000</v>
      </c>
      <c r="I22" s="37">
        <f>G22*'Currency-Conversion'!$C$10</f>
        <v>1531939724.9999998</v>
      </c>
      <c r="J22" s="3">
        <f>H22*'Currency-Conversion'!$C$10</f>
        <v>3063879449.9999995</v>
      </c>
      <c r="K22" s="1" t="s">
        <v>2482</v>
      </c>
      <c r="L22" s="1">
        <v>2.5</v>
      </c>
      <c r="M22" s="1">
        <v>0.2</v>
      </c>
      <c r="N22" s="1">
        <v>0.6</v>
      </c>
      <c r="O22" s="1">
        <v>6</v>
      </c>
    </row>
    <row r="23" spans="1:10" ht="13.5" customHeight="1">
      <c r="A23" s="35" t="s">
        <v>677</v>
      </c>
      <c r="B23" s="61" t="s">
        <v>678</v>
      </c>
      <c r="C23" s="61"/>
      <c r="D23" s="61"/>
      <c r="E23" s="61"/>
      <c r="F23" s="61"/>
      <c r="G23" s="61"/>
      <c r="H23" s="61"/>
      <c r="I23" s="61"/>
      <c r="K23" s="1" t="s">
        <v>2483</v>
      </c>
      <c r="L23" s="1">
        <v>3</v>
      </c>
      <c r="M23" s="1">
        <v>0.3</v>
      </c>
      <c r="N23" s="1">
        <v>1</v>
      </c>
      <c r="O23" s="1">
        <v>10</v>
      </c>
    </row>
    <row r="24" spans="1:10" ht="25.5" customHeight="1">
      <c r="A24" s="36" t="s">
        <v>679</v>
      </c>
      <c r="B24" s="36" t="s">
        <v>680</v>
      </c>
      <c r="C24" s="36">
        <v>4</v>
      </c>
      <c r="D24" s="36">
        <v>0.3</v>
      </c>
      <c r="E24" s="36">
        <v>1</v>
      </c>
      <c r="F24" s="36">
        <v>15</v>
      </c>
      <c r="G24" s="36">
        <v>5000</v>
      </c>
      <c r="H24" s="36">
        <v>10000</v>
      </c>
      <c r="I24" s="37">
        <f>G24*'Currency-Conversion'!$C$10</f>
        <v>15319397249.999998</v>
      </c>
      <c r="J24" s="3">
        <f>H24*'Currency-Conversion'!$C$10</f>
        <v>30638794499.999996</v>
      </c>
      <c r="K24" s="1" t="s">
        <v>2484</v>
      </c>
      <c r="L24" s="1">
        <v>3.5</v>
      </c>
      <c r="M24" s="1">
        <v>0.2</v>
      </c>
      <c r="N24" s="1">
        <v>1.25</v>
      </c>
      <c r="O24" s="1">
        <v>15</v>
      </c>
    </row>
    <row r="25" spans="1:10" ht="25.5" customHeight="1">
      <c r="A25" s="36" t="s">
        <v>681</v>
      </c>
      <c r="B25" s="36" t="s">
        <v>682</v>
      </c>
      <c r="C25" s="36">
        <v>3.5</v>
      </c>
      <c r="D25" s="36">
        <v>0.25</v>
      </c>
      <c r="E25" s="36">
        <v>1.5</v>
      </c>
      <c r="F25" s="36">
        <v>25</v>
      </c>
      <c r="G25" s="36">
        <v>2500</v>
      </c>
      <c r="H25" s="36">
        <v>5000</v>
      </c>
      <c r="I25" s="37">
        <f>G25*'Currency-Conversion'!$C$10</f>
        <v>7659698624.999999</v>
      </c>
      <c r="J25" s="3">
        <f>H25*'Currency-Conversion'!$C$10</f>
        <v>15319397249.999998</v>
      </c>
      <c r="K25" s="1" t="s">
        <v>2485</v>
      </c>
      <c r="L25" s="1">
        <v>3</v>
      </c>
      <c r="M25" s="1">
        <v>0.15</v>
      </c>
      <c r="N25" s="1">
        <v>0.5</v>
      </c>
      <c r="O25" s="1">
        <v>6</v>
      </c>
    </row>
    <row r="26" spans="1:10" ht="25.5" customHeight="1">
      <c r="A26" s="36" t="s">
        <v>683</v>
      </c>
      <c r="B26" s="36" t="s">
        <v>684</v>
      </c>
      <c r="C26" s="36">
        <v>2.5</v>
      </c>
      <c r="D26" s="36">
        <v>0.2</v>
      </c>
      <c r="E26" s="36">
        <v>0.6</v>
      </c>
      <c r="F26" s="36">
        <v>6</v>
      </c>
      <c r="G26" s="36">
        <v>1000</v>
      </c>
      <c r="H26" s="36">
        <v>2000</v>
      </c>
      <c r="I26" s="37">
        <f>G26*'Currency-Conversion'!$C$10</f>
        <v>3063879449.9999995</v>
      </c>
      <c r="J26" s="3">
        <f>H26*'Currency-Conversion'!$C$10</f>
        <v>6127758899.999999</v>
      </c>
      <c r="K26" s="1" t="s">
        <v>2486</v>
      </c>
      <c r="L26" s="1">
        <v>2.5</v>
      </c>
      <c r="M26" s="1">
        <v>0.1</v>
      </c>
      <c r="N26" s="1">
        <v>0.5</v>
      </c>
      <c r="O26" s="1">
        <v>5</v>
      </c>
    </row>
    <row r="27" spans="1:10" ht="25.5" customHeight="1">
      <c r="A27" s="36" t="s">
        <v>685</v>
      </c>
      <c r="B27" s="36" t="s">
        <v>686</v>
      </c>
      <c r="C27" s="36">
        <v>3</v>
      </c>
      <c r="D27" s="36">
        <v>0.3</v>
      </c>
      <c r="E27" s="36">
        <v>1</v>
      </c>
      <c r="F27" s="36">
        <v>10</v>
      </c>
      <c r="G27" s="36">
        <v>5000</v>
      </c>
      <c r="H27" s="36">
        <v>10000</v>
      </c>
      <c r="I27" s="37">
        <f>G27*'Currency-Conversion'!$C$10</f>
        <v>15319397249.999998</v>
      </c>
      <c r="J27" s="3">
        <f>H27*'Currency-Conversion'!$C$10</f>
        <v>30638794499.999996</v>
      </c>
      <c r="K27" s="1" t="s">
        <v>2487</v>
      </c>
      <c r="L27" s="1">
        <v>3.2</v>
      </c>
      <c r="M27" s="1">
        <v>0.25</v>
      </c>
      <c r="N27" s="1">
        <v>0.6</v>
      </c>
      <c r="O27" s="1">
        <v>6</v>
      </c>
    </row>
    <row r="28" spans="1:10" ht="13.5" customHeight="1">
      <c r="A28" s="36" t="s">
        <v>685</v>
      </c>
      <c r="B28" s="36" t="s">
        <v>687</v>
      </c>
      <c r="C28" s="36">
        <v>3.5</v>
      </c>
      <c r="D28" s="36">
        <v>0.2</v>
      </c>
      <c r="E28" s="36">
        <v>1.25</v>
      </c>
      <c r="F28" s="36">
        <v>15</v>
      </c>
      <c r="G28" s="36">
        <v>2500</v>
      </c>
      <c r="H28" s="36">
        <v>5000</v>
      </c>
      <c r="I28" s="37">
        <f>G28*'Currency-Conversion'!$C$10</f>
        <v>7659698624.999999</v>
      </c>
      <c r="J28" s="3">
        <f>H28*'Currency-Conversion'!$C$10</f>
        <v>15319397249.999998</v>
      </c>
      <c r="K28" s="1" t="s">
        <v>2488</v>
      </c>
      <c r="L28" s="1">
        <v>5.5</v>
      </c>
      <c r="M28" s="1">
        <v>0.3</v>
      </c>
      <c r="N28" s="1">
        <v>1.5</v>
      </c>
      <c r="O28" s="1">
        <v>18</v>
      </c>
    </row>
    <row r="29" spans="1:10" ht="13.5" customHeight="1">
      <c r="A29" s="36" t="s">
        <v>688</v>
      </c>
      <c r="B29" s="36" t="s">
        <v>689</v>
      </c>
      <c r="C29" s="36">
        <v>3</v>
      </c>
      <c r="D29" s="36">
        <v>0.15</v>
      </c>
      <c r="E29" s="36">
        <v>0.5</v>
      </c>
      <c r="F29" s="36">
        <v>6</v>
      </c>
      <c r="G29" s="36">
        <v>2500</v>
      </c>
      <c r="H29" s="36">
        <v>5000</v>
      </c>
      <c r="I29" s="37">
        <f>G29*'Currency-Conversion'!$C$10</f>
        <v>7659698624.999999</v>
      </c>
      <c r="J29" s="3">
        <f>H29*'Currency-Conversion'!$C$10</f>
        <v>15319397249.999998</v>
      </c>
      <c r="K29" s="1" t="s">
        <v>2489</v>
      </c>
      <c r="L29" s="1">
        <v>4.25</v>
      </c>
      <c r="M29" s="1">
        <v>0.25</v>
      </c>
      <c r="N29" s="1">
        <v>0.9</v>
      </c>
      <c r="O29" s="1">
        <v>12</v>
      </c>
    </row>
    <row r="30" spans="1:10" ht="13.5" customHeight="1">
      <c r="A30" s="36" t="s">
        <v>690</v>
      </c>
      <c r="B30" s="36" t="s">
        <v>676</v>
      </c>
      <c r="C30" s="36">
        <v>2.5</v>
      </c>
      <c r="D30" s="36">
        <v>0.1</v>
      </c>
      <c r="E30" s="36">
        <v>0.5</v>
      </c>
      <c r="F30" s="36">
        <v>5</v>
      </c>
      <c r="G30" s="36">
        <v>1000</v>
      </c>
      <c r="H30" s="36">
        <v>2000</v>
      </c>
      <c r="I30" s="37">
        <f>G30*'Currency-Conversion'!$C$10</f>
        <v>3063879449.9999995</v>
      </c>
      <c r="J30" s="3">
        <f>H30*'Currency-Conversion'!$C$10</f>
        <v>6127758899.999999</v>
      </c>
      <c r="K30" s="1" t="s">
        <v>2490</v>
      </c>
      <c r="L30" s="1">
        <v>3.85</v>
      </c>
      <c r="M30" s="1">
        <v>0.25</v>
      </c>
      <c r="N30" s="1">
        <v>0.75</v>
      </c>
      <c r="O30" s="1">
        <v>10</v>
      </c>
    </row>
    <row r="31" spans="1:10" ht="13.5" customHeight="1">
      <c r="A31" s="35" t="s">
        <v>691</v>
      </c>
      <c r="B31" s="61" t="s">
        <v>692</v>
      </c>
      <c r="C31" s="61"/>
      <c r="D31" s="61"/>
      <c r="E31" s="61"/>
      <c r="F31" s="61"/>
      <c r="G31" s="61"/>
      <c r="H31" s="61"/>
      <c r="I31" s="61"/>
      <c r="K31" s="1" t="s">
        <v>2491</v>
      </c>
      <c r="L31" s="1">
        <v>3.2</v>
      </c>
      <c r="M31" s="1">
        <v>0.2</v>
      </c>
      <c r="N31" s="1">
        <v>0.45</v>
      </c>
      <c r="O31" s="1">
        <v>5</v>
      </c>
    </row>
    <row r="32" spans="1:10" ht="25.5" customHeight="1">
      <c r="A32" s="36" t="s">
        <v>693</v>
      </c>
      <c r="B32" s="36" t="s">
        <v>694</v>
      </c>
      <c r="C32" s="36">
        <v>3.2</v>
      </c>
      <c r="D32" s="36">
        <v>0.25</v>
      </c>
      <c r="E32" s="36">
        <v>0.6</v>
      </c>
      <c r="F32" s="36">
        <v>6</v>
      </c>
      <c r="G32" s="36">
        <v>2500</v>
      </c>
      <c r="H32" s="36">
        <v>5000</v>
      </c>
      <c r="I32" s="37">
        <f>G32*'Currency-Conversion'!$C$10</f>
        <v>7659698624.999999</v>
      </c>
      <c r="J32" s="3">
        <f>H32*'Currency-Conversion'!$C$10</f>
        <v>15319397249.999998</v>
      </c>
      <c r="K32" s="1" t="s">
        <v>2492</v>
      </c>
      <c r="L32" s="1">
        <v>3.2</v>
      </c>
      <c r="M32" s="1">
        <v>0.15</v>
      </c>
      <c r="N32" s="1">
        <v>0.8</v>
      </c>
      <c r="O32" s="1">
        <v>6</v>
      </c>
    </row>
    <row r="33" spans="1:10" ht="13.5" customHeight="1">
      <c r="A33" s="36" t="s">
        <v>695</v>
      </c>
      <c r="B33" s="36" t="s">
        <v>696</v>
      </c>
      <c r="C33" s="36">
        <v>5.5</v>
      </c>
      <c r="D33" s="36">
        <v>0.3</v>
      </c>
      <c r="E33" s="36">
        <v>1.5</v>
      </c>
      <c r="F33" s="36">
        <v>18</v>
      </c>
      <c r="G33" s="36">
        <v>2500</v>
      </c>
      <c r="H33" s="36">
        <v>10000</v>
      </c>
      <c r="I33" s="37">
        <f>G33*'Currency-Conversion'!$C$10</f>
        <v>7659698624.999999</v>
      </c>
      <c r="J33" s="3">
        <f>H33*'Currency-Conversion'!$C$10</f>
        <v>30638794499.999996</v>
      </c>
      <c r="K33" s="1" t="s">
        <v>2493</v>
      </c>
      <c r="L33" s="1">
        <v>2.75</v>
      </c>
      <c r="M33" s="1">
        <v>0.15</v>
      </c>
      <c r="N33" s="1">
        <v>0.4</v>
      </c>
      <c r="O33" s="1">
        <v>4</v>
      </c>
    </row>
    <row r="34" spans="1:10" ht="13.5" customHeight="1">
      <c r="A34" s="36" t="s">
        <v>695</v>
      </c>
      <c r="B34" s="36" t="s">
        <v>697</v>
      </c>
      <c r="C34" s="36">
        <v>4.25</v>
      </c>
      <c r="D34" s="36">
        <v>0.25</v>
      </c>
      <c r="E34" s="36">
        <v>0.9</v>
      </c>
      <c r="F34" s="36">
        <v>12</v>
      </c>
      <c r="G34" s="36">
        <v>2500</v>
      </c>
      <c r="H34" s="36">
        <v>5000</v>
      </c>
      <c r="I34" s="37">
        <f>G34*'Currency-Conversion'!$C$10</f>
        <v>7659698624.999999</v>
      </c>
      <c r="J34" s="3">
        <f>H34*'Currency-Conversion'!$C$10</f>
        <v>15319397249.999998</v>
      </c>
      <c r="K34" s="1" t="s">
        <v>2494</v>
      </c>
      <c r="L34" s="1">
        <v>2.7</v>
      </c>
      <c r="M34" s="1">
        <v>0.2</v>
      </c>
      <c r="N34" s="1">
        <v>0.4</v>
      </c>
      <c r="O34" s="1">
        <v>5</v>
      </c>
    </row>
    <row r="35" spans="1:10" ht="25.5" customHeight="1">
      <c r="A35" s="36" t="s">
        <v>698</v>
      </c>
      <c r="B35" s="36" t="s">
        <v>699</v>
      </c>
      <c r="C35" s="36">
        <v>3.85</v>
      </c>
      <c r="D35" s="36">
        <v>0.25</v>
      </c>
      <c r="E35" s="36">
        <v>0.75</v>
      </c>
      <c r="F35" s="36">
        <v>10</v>
      </c>
      <c r="G35" s="36">
        <v>2000</v>
      </c>
      <c r="H35" s="36">
        <v>2000</v>
      </c>
      <c r="I35" s="37">
        <f>G35*'Currency-Conversion'!$C$10</f>
        <v>6127758899.999999</v>
      </c>
      <c r="J35" s="3">
        <f>H35*'Currency-Conversion'!$C$10</f>
        <v>6127758899.999999</v>
      </c>
      <c r="K35" s="1" t="s">
        <v>2495</v>
      </c>
      <c r="L35" s="1">
        <v>2.85</v>
      </c>
      <c r="M35" s="1">
        <v>0.25</v>
      </c>
      <c r="N35" s="1">
        <v>0.5</v>
      </c>
      <c r="O35" s="1">
        <v>6</v>
      </c>
    </row>
    <row r="36" spans="1:10" ht="13.5" customHeight="1">
      <c r="A36" s="36" t="s">
        <v>700</v>
      </c>
      <c r="B36" s="36" t="s">
        <v>701</v>
      </c>
      <c r="C36" s="36">
        <v>3.2</v>
      </c>
      <c r="D36" s="36">
        <v>0.2</v>
      </c>
      <c r="E36" s="36">
        <v>0.45</v>
      </c>
      <c r="F36" s="36">
        <v>5</v>
      </c>
      <c r="G36" s="36">
        <v>500</v>
      </c>
      <c r="H36" s="36">
        <v>1000</v>
      </c>
      <c r="I36" s="37">
        <f>G36*'Currency-Conversion'!$C$10</f>
        <v>1531939724.9999998</v>
      </c>
      <c r="J36" s="3">
        <f>H36*'Currency-Conversion'!$C$10</f>
        <v>3063879449.9999995</v>
      </c>
      <c r="K36" s="1" t="s">
        <v>2496</v>
      </c>
      <c r="L36" s="1">
        <v>2.5</v>
      </c>
      <c r="M36" s="1">
        <v>0.2</v>
      </c>
      <c r="N36" s="1">
        <v>0.4</v>
      </c>
      <c r="O36" s="1">
        <v>5</v>
      </c>
    </row>
    <row r="37" spans="1:10" ht="13.5" customHeight="1">
      <c r="A37" s="36" t="s">
        <v>702</v>
      </c>
      <c r="B37" s="36" t="s">
        <v>703</v>
      </c>
      <c r="C37" s="36">
        <v>3.2</v>
      </c>
      <c r="D37" s="36">
        <v>0.15</v>
      </c>
      <c r="E37" s="36">
        <v>0.8</v>
      </c>
      <c r="F37" s="36">
        <v>6</v>
      </c>
      <c r="G37" s="36">
        <v>2500</v>
      </c>
      <c r="H37" s="36">
        <v>5000</v>
      </c>
      <c r="I37" s="37">
        <f>G37*'Currency-Conversion'!$C$10</f>
        <v>7659698624.999999</v>
      </c>
      <c r="J37" s="3">
        <f>H37*'Currency-Conversion'!$C$10</f>
        <v>15319397249.999998</v>
      </c>
      <c r="K37" s="1" t="s">
        <v>2497</v>
      </c>
      <c r="L37" s="1">
        <v>3</v>
      </c>
      <c r="M37" s="1">
        <v>0.2</v>
      </c>
      <c r="N37" s="1">
        <v>0.5</v>
      </c>
      <c r="O37" s="1">
        <v>6</v>
      </c>
    </row>
    <row r="38" spans="1:10" ht="13.5" customHeight="1">
      <c r="A38" s="36" t="s">
        <v>704</v>
      </c>
      <c r="B38" s="36" t="s">
        <v>676</v>
      </c>
      <c r="C38" s="36">
        <v>2.75</v>
      </c>
      <c r="D38" s="36">
        <v>0.15</v>
      </c>
      <c r="E38" s="36">
        <v>0.4</v>
      </c>
      <c r="F38" s="36">
        <v>4</v>
      </c>
      <c r="G38" s="36">
        <v>500</v>
      </c>
      <c r="H38" s="36">
        <v>1000</v>
      </c>
      <c r="I38" s="37">
        <f>G38*'Currency-Conversion'!$C$10</f>
        <v>1531939724.9999998</v>
      </c>
      <c r="J38" s="3">
        <f>H38*'Currency-Conversion'!$C$10</f>
        <v>3063879449.9999995</v>
      </c>
      <c r="K38" s="1" t="s">
        <v>2498</v>
      </c>
      <c r="L38" s="1">
        <v>3.1</v>
      </c>
      <c r="M38" s="1">
        <v>0.2</v>
      </c>
      <c r="N38" s="1">
        <v>0.6</v>
      </c>
      <c r="O38" s="1">
        <v>8</v>
      </c>
    </row>
    <row r="39" spans="1:10" ht="13.5" customHeight="1">
      <c r="A39" s="35" t="s">
        <v>705</v>
      </c>
      <c r="B39" s="61" t="s">
        <v>706</v>
      </c>
      <c r="C39" s="61"/>
      <c r="D39" s="61"/>
      <c r="E39" s="61"/>
      <c r="F39" s="61"/>
      <c r="G39" s="61"/>
      <c r="H39" s="61"/>
      <c r="I39" s="61"/>
      <c r="K39" s="1" t="s">
        <v>2499</v>
      </c>
      <c r="L39" s="1">
        <v>2.85</v>
      </c>
      <c r="M39" s="1">
        <v>0.2</v>
      </c>
      <c r="N39" s="1">
        <v>0.5</v>
      </c>
      <c r="O39" s="1">
        <v>5</v>
      </c>
    </row>
    <row r="40" spans="1:10" ht="13.5" customHeight="1">
      <c r="A40" s="38" t="s">
        <v>707</v>
      </c>
      <c r="B40" s="39" t="s">
        <v>708</v>
      </c>
      <c r="C40" s="1">
        <v>2.7</v>
      </c>
      <c r="D40" s="1">
        <v>0.2</v>
      </c>
      <c r="E40" s="1">
        <v>0.4</v>
      </c>
      <c r="F40" s="1">
        <v>5</v>
      </c>
      <c r="G40" s="1">
        <v>2500</v>
      </c>
      <c r="H40" s="1">
        <v>5000</v>
      </c>
      <c r="I40" s="3">
        <f>G40*'Currency-Conversion'!$C$10</f>
        <v>7659698624.999999</v>
      </c>
      <c r="J40" s="3">
        <f>H40*'Currency-Conversion'!$C$10</f>
        <v>15319397249.999998</v>
      </c>
      <c r="K40" s="1" t="s">
        <v>2500</v>
      </c>
      <c r="L40" s="1">
        <v>2.2</v>
      </c>
      <c r="M40" s="1">
        <v>0.15</v>
      </c>
      <c r="N40" s="1">
        <v>0.35</v>
      </c>
      <c r="O40" s="1">
        <v>4</v>
      </c>
    </row>
    <row r="41" spans="1:10" ht="13.5" customHeight="1">
      <c r="A41" s="36" t="s">
        <v>709</v>
      </c>
      <c r="B41" s="36" t="s">
        <v>710</v>
      </c>
      <c r="C41" s="36">
        <v>2.85</v>
      </c>
      <c r="D41" s="36">
        <v>0.25</v>
      </c>
      <c r="E41" s="36">
        <v>0.5</v>
      </c>
      <c r="F41" s="36">
        <v>6</v>
      </c>
      <c r="G41" s="36">
        <v>2500</v>
      </c>
      <c r="H41" s="36">
        <v>5000</v>
      </c>
      <c r="I41" s="37">
        <f>G41*'Currency-Conversion'!$C$10</f>
        <v>7659698624.999999</v>
      </c>
      <c r="J41" s="3">
        <f>H41*'Currency-Conversion'!$C$10</f>
        <v>15319397249.999998</v>
      </c>
      <c r="K41" s="1" t="s">
        <v>2501</v>
      </c>
      <c r="L41" s="1">
        <v>2.5</v>
      </c>
      <c r="M41" s="1">
        <v>0.25</v>
      </c>
      <c r="N41" s="1">
        <v>0.5</v>
      </c>
      <c r="O41" s="1">
        <v>5</v>
      </c>
    </row>
    <row r="42" spans="1:10" ht="13.5" customHeight="1">
      <c r="A42" s="36" t="s">
        <v>711</v>
      </c>
      <c r="B42" s="36" t="s">
        <v>712</v>
      </c>
      <c r="C42" s="36">
        <v>2.5</v>
      </c>
      <c r="D42" s="36">
        <v>0.2</v>
      </c>
      <c r="E42" s="36">
        <v>0.4</v>
      </c>
      <c r="F42" s="36">
        <v>5</v>
      </c>
      <c r="G42" s="36">
        <v>2500</v>
      </c>
      <c r="H42" s="36">
        <v>5000</v>
      </c>
      <c r="I42" s="37">
        <f>G42*'Currency-Conversion'!$C$10</f>
        <v>7659698624.999999</v>
      </c>
      <c r="J42" s="3">
        <f>H42*'Currency-Conversion'!$C$10</f>
        <v>15319397249.999998</v>
      </c>
      <c r="K42" s="1" t="s">
        <v>2502</v>
      </c>
      <c r="L42" s="1">
        <v>2.3</v>
      </c>
      <c r="M42" s="1">
        <v>0.15</v>
      </c>
      <c r="N42" s="1">
        <v>0.4</v>
      </c>
      <c r="O42" s="1">
        <v>4</v>
      </c>
    </row>
    <row r="43" spans="1:10" ht="13.5" customHeight="1">
      <c r="A43" s="36" t="s">
        <v>713</v>
      </c>
      <c r="B43" s="36" t="s">
        <v>714</v>
      </c>
      <c r="C43" s="36">
        <v>3</v>
      </c>
      <c r="D43" s="36">
        <v>0.2</v>
      </c>
      <c r="E43" s="36">
        <v>0.5</v>
      </c>
      <c r="F43" s="36">
        <v>6</v>
      </c>
      <c r="G43" s="36">
        <v>2500</v>
      </c>
      <c r="H43" s="36">
        <v>5000</v>
      </c>
      <c r="I43" s="37">
        <f>G43*'Currency-Conversion'!$C$10</f>
        <v>7659698624.999999</v>
      </c>
      <c r="J43" s="3">
        <f>H43*'Currency-Conversion'!$C$10</f>
        <v>15319397249.999998</v>
      </c>
      <c r="K43" s="1" t="s">
        <v>2503</v>
      </c>
      <c r="L43" s="1">
        <v>4.5</v>
      </c>
      <c r="M43" s="1">
        <v>0.1</v>
      </c>
      <c r="N43" s="1">
        <v>1.5</v>
      </c>
      <c r="O43" s="1">
        <v>20</v>
      </c>
    </row>
    <row r="44" spans="1:10" ht="25.5" customHeight="1">
      <c r="A44" s="36" t="s">
        <v>715</v>
      </c>
      <c r="B44" s="36" t="s">
        <v>716</v>
      </c>
      <c r="C44" s="36">
        <v>3.1</v>
      </c>
      <c r="D44" s="36">
        <v>0.2</v>
      </c>
      <c r="E44" s="36">
        <v>0.6</v>
      </c>
      <c r="F44" s="36">
        <v>8</v>
      </c>
      <c r="G44" s="36">
        <v>2500</v>
      </c>
      <c r="H44" s="36">
        <v>5000</v>
      </c>
      <c r="I44" s="37">
        <f>G44*'Currency-Conversion'!$C$10</f>
        <v>7659698624.999999</v>
      </c>
      <c r="J44" s="3">
        <f>H44*'Currency-Conversion'!$C$10</f>
        <v>15319397249.999998</v>
      </c>
      <c r="K44" s="1" t="s">
        <v>2504</v>
      </c>
      <c r="L44" s="1">
        <v>2.8</v>
      </c>
      <c r="M44" s="1">
        <v>0.15</v>
      </c>
      <c r="N44" s="1">
        <v>0.4</v>
      </c>
      <c r="O44" s="1">
        <v>5</v>
      </c>
    </row>
    <row r="45" spans="1:10" ht="13.5" customHeight="1">
      <c r="A45" s="36" t="s">
        <v>717</v>
      </c>
      <c r="B45" s="36" t="s">
        <v>718</v>
      </c>
      <c r="C45" s="36">
        <v>2.85</v>
      </c>
      <c r="D45" s="36">
        <v>0.2</v>
      </c>
      <c r="E45" s="36">
        <v>0.5</v>
      </c>
      <c r="F45" s="36">
        <v>5</v>
      </c>
      <c r="G45" s="36">
        <v>1250</v>
      </c>
      <c r="H45" s="36">
        <v>2500</v>
      </c>
      <c r="I45" s="37">
        <f>G45*'Currency-Conversion'!$C$10</f>
        <v>3829849312.4999995</v>
      </c>
      <c r="J45" s="3">
        <f>H45*'Currency-Conversion'!$C$10</f>
        <v>7659698624.999999</v>
      </c>
      <c r="K45" s="1" t="s">
        <v>2505</v>
      </c>
      <c r="L45" s="1">
        <v>3.4</v>
      </c>
      <c r="M45" s="1">
        <v>0.15</v>
      </c>
      <c r="N45" s="1">
        <v>0.5</v>
      </c>
      <c r="O45" s="1">
        <v>6</v>
      </c>
    </row>
    <row r="46" spans="1:10" ht="13.5" customHeight="1">
      <c r="A46" s="36" t="s">
        <v>719</v>
      </c>
      <c r="B46" s="36" t="s">
        <v>720</v>
      </c>
      <c r="C46" s="36">
        <v>2.2000000000000002</v>
      </c>
      <c r="D46" s="36">
        <v>0.15</v>
      </c>
      <c r="E46" s="36">
        <v>0.35</v>
      </c>
      <c r="F46" s="36">
        <v>4</v>
      </c>
      <c r="G46" s="36">
        <v>500</v>
      </c>
      <c r="H46" s="36">
        <v>1000</v>
      </c>
      <c r="I46" s="37">
        <f>G46*'Currency-Conversion'!$C$10</f>
        <v>1531939724.9999998</v>
      </c>
      <c r="J46" s="3">
        <f>H46*'Currency-Conversion'!$C$10</f>
        <v>3063879449.9999995</v>
      </c>
      <c r="K46" s="1" t="s">
        <v>2506</v>
      </c>
      <c r="L46" s="1">
        <v>3.2</v>
      </c>
      <c r="M46" s="1">
        <v>0.15</v>
      </c>
      <c r="N46" s="1">
        <v>0.8</v>
      </c>
      <c r="O46" s="1">
        <v>6</v>
      </c>
    </row>
    <row r="47" spans="1:10" ht="13.5" customHeight="1">
      <c r="A47" s="36" t="s">
        <v>721</v>
      </c>
      <c r="B47" s="36" t="s">
        <v>722</v>
      </c>
      <c r="C47" s="36">
        <v>2.5</v>
      </c>
      <c r="D47" s="36">
        <v>0.25</v>
      </c>
      <c r="E47" s="36">
        <v>0.5</v>
      </c>
      <c r="F47" s="36">
        <v>5</v>
      </c>
      <c r="G47" s="36">
        <v>2500</v>
      </c>
      <c r="H47" s="36">
        <v>5000</v>
      </c>
      <c r="I47" s="37">
        <f>G47*'Currency-Conversion'!$C$10</f>
        <v>7659698624.999999</v>
      </c>
      <c r="J47" s="3">
        <f>H47*'Currency-Conversion'!$C$10</f>
        <v>15319397249.999998</v>
      </c>
      <c r="K47" s="1" t="s">
        <v>2507</v>
      </c>
      <c r="L47" s="1">
        <v>3.4</v>
      </c>
      <c r="M47" s="1">
        <v>0.2</v>
      </c>
      <c r="N47" s="1">
        <v>0.6</v>
      </c>
      <c r="O47" s="1">
        <v>7</v>
      </c>
    </row>
    <row r="48" spans="1:10" ht="13.5" customHeight="1">
      <c r="A48" s="36" t="s">
        <v>723</v>
      </c>
      <c r="B48" s="36" t="s">
        <v>676</v>
      </c>
      <c r="C48" s="36">
        <v>2.2999999999999998</v>
      </c>
      <c r="D48" s="36">
        <v>0.15</v>
      </c>
      <c r="E48" s="36">
        <v>0.4</v>
      </c>
      <c r="F48" s="36">
        <v>4</v>
      </c>
      <c r="G48" s="36">
        <v>500</v>
      </c>
      <c r="H48" s="36">
        <v>1000</v>
      </c>
      <c r="I48" s="37">
        <f>G48*'Currency-Conversion'!$C$10</f>
        <v>1531939724.9999998</v>
      </c>
      <c r="J48" s="3">
        <f>H48*'Currency-Conversion'!$C$10</f>
        <v>3063879449.9999995</v>
      </c>
      <c r="K48" s="1" t="s">
        <v>2508</v>
      </c>
      <c r="L48" s="1">
        <v>3.2</v>
      </c>
      <c r="M48" s="1">
        <v>0.15</v>
      </c>
      <c r="N48" s="1">
        <v>0.5</v>
      </c>
      <c r="O48" s="1">
        <v>5</v>
      </c>
    </row>
    <row r="49" spans="1:10" ht="13.5" customHeight="1">
      <c r="A49" s="40" t="s">
        <v>724</v>
      </c>
      <c r="B49" s="62" t="s">
        <v>725</v>
      </c>
      <c r="C49" s="62"/>
      <c r="D49" s="62"/>
      <c r="E49" s="62"/>
      <c r="F49" s="62"/>
      <c r="G49" s="62"/>
      <c r="H49" s="62"/>
      <c r="I49" s="62"/>
      <c r="K49" s="1" t="s">
        <v>2509</v>
      </c>
      <c r="L49" s="1">
        <v>3.2</v>
      </c>
      <c r="M49" s="1">
        <v>0.1</v>
      </c>
      <c r="N49" s="1">
        <v>0.75</v>
      </c>
      <c r="O49" s="1">
        <v>10</v>
      </c>
    </row>
    <row r="50" spans="1:10" ht="13.5" customHeight="1">
      <c r="A50" s="36" t="s">
        <v>726</v>
      </c>
      <c r="B50" s="36" t="s">
        <v>727</v>
      </c>
      <c r="C50" s="36">
        <v>4.5</v>
      </c>
      <c r="D50" s="36">
        <v>0.1</v>
      </c>
      <c r="E50" s="36">
        <v>1.5</v>
      </c>
      <c r="F50" s="36">
        <v>20</v>
      </c>
      <c r="G50" s="36">
        <v>2500</v>
      </c>
      <c r="H50" s="36">
        <v>5000</v>
      </c>
      <c r="I50" s="37">
        <f>G50*'Currency-Conversion'!$C$10</f>
        <v>7659698624.999999</v>
      </c>
      <c r="J50" s="3">
        <f>H50*'Currency-Conversion'!$C$10</f>
        <v>15319397249.999998</v>
      </c>
      <c r="K50" s="1" t="s">
        <v>2510</v>
      </c>
      <c r="L50" s="1">
        <v>2.7</v>
      </c>
      <c r="M50" s="1">
        <v>0.15</v>
      </c>
      <c r="N50" s="1">
        <v>0.4</v>
      </c>
      <c r="O50" s="1">
        <v>6</v>
      </c>
    </row>
    <row r="51" spans="1:10" ht="13.5" customHeight="1">
      <c r="A51" s="38" t="s">
        <v>728</v>
      </c>
      <c r="B51" s="39" t="s">
        <v>729</v>
      </c>
      <c r="C51" s="1">
        <v>2.8</v>
      </c>
      <c r="D51" s="1">
        <v>0.15</v>
      </c>
      <c r="E51" s="1">
        <v>0.4</v>
      </c>
      <c r="F51" s="1">
        <v>5</v>
      </c>
      <c r="G51" s="1">
        <v>500</v>
      </c>
      <c r="H51" s="1">
        <v>1000</v>
      </c>
      <c r="I51" s="3">
        <f>G51*'Currency-Conversion'!$C$10</f>
        <v>1531939724.9999998</v>
      </c>
      <c r="J51" s="3">
        <f>H51*'Currency-Conversion'!$C$10</f>
        <v>3063879449.9999995</v>
      </c>
      <c r="K51" s="1" t="s">
        <v>2511</v>
      </c>
      <c r="L51" s="1">
        <v>3.1</v>
      </c>
      <c r="M51" s="1">
        <v>0.15</v>
      </c>
      <c r="N51" s="1">
        <v>0.45</v>
      </c>
      <c r="O51" s="1">
        <v>5</v>
      </c>
    </row>
    <row r="52" spans="1:10" ht="13.5" customHeight="1">
      <c r="A52" s="38" t="s">
        <v>730</v>
      </c>
      <c r="B52" s="39" t="s">
        <v>731</v>
      </c>
      <c r="C52" s="1">
        <v>3.4</v>
      </c>
      <c r="D52" s="1">
        <v>0.15</v>
      </c>
      <c r="E52" s="1">
        <v>0.5</v>
      </c>
      <c r="F52" s="1">
        <v>6</v>
      </c>
      <c r="G52" s="1">
        <v>2500</v>
      </c>
      <c r="H52" s="1">
        <v>5000</v>
      </c>
      <c r="I52" s="3">
        <f>G52*'Currency-Conversion'!$C$10</f>
        <v>7659698624.999999</v>
      </c>
      <c r="J52" s="3">
        <f>H52*'Currency-Conversion'!$C$10</f>
        <v>15319397249.999998</v>
      </c>
      <c r="K52" s="1" t="s">
        <v>2512</v>
      </c>
      <c r="L52" s="1">
        <v>2.8</v>
      </c>
      <c r="M52" s="1">
        <v>0.1</v>
      </c>
      <c r="N52" s="1">
        <v>0.4</v>
      </c>
      <c r="O52" s="1">
        <v>4</v>
      </c>
    </row>
    <row r="53" spans="1:10" ht="13.5" customHeight="1">
      <c r="A53" s="36" t="s">
        <v>732</v>
      </c>
      <c r="B53" s="36" t="s">
        <v>733</v>
      </c>
      <c r="C53" s="36">
        <v>3.2</v>
      </c>
      <c r="D53" s="36">
        <v>0.15</v>
      </c>
      <c r="E53" s="36">
        <v>0.8</v>
      </c>
      <c r="F53" s="36">
        <v>6</v>
      </c>
      <c r="G53" s="36">
        <v>1250</v>
      </c>
      <c r="H53" s="36">
        <v>2500</v>
      </c>
      <c r="I53" s="37">
        <f>G53*'Currency-Conversion'!$C$10</f>
        <v>3829849312.4999995</v>
      </c>
      <c r="J53" s="3">
        <f>H53*'Currency-Conversion'!$C$10</f>
        <v>7659698624.999999</v>
      </c>
      <c r="K53" s="1" t="s">
        <v>2513</v>
      </c>
      <c r="L53" s="1">
        <v>4.5</v>
      </c>
      <c r="M53" s="1">
        <v>0.1</v>
      </c>
      <c r="N53" s="1">
        <v>1.2</v>
      </c>
      <c r="O53" s="1">
        <v>15</v>
      </c>
    </row>
    <row r="54" spans="1:10" ht="13.5" customHeight="1">
      <c r="A54" s="36" t="s">
        <v>734</v>
      </c>
      <c r="B54" s="36" t="s">
        <v>735</v>
      </c>
      <c r="C54" s="36">
        <v>3.4</v>
      </c>
      <c r="D54" s="36">
        <v>0.2</v>
      </c>
      <c r="E54" s="36">
        <v>0.6</v>
      </c>
      <c r="F54" s="36">
        <v>7</v>
      </c>
      <c r="G54" s="36">
        <v>2500</v>
      </c>
      <c r="H54" s="36">
        <v>5000</v>
      </c>
      <c r="I54" s="37">
        <f>G54*'Currency-Conversion'!$C$10</f>
        <v>7659698624.999999</v>
      </c>
      <c r="J54" s="3">
        <f>H54*'Currency-Conversion'!$C$10</f>
        <v>15319397249.999998</v>
      </c>
      <c r="K54" s="1" t="s">
        <v>2514</v>
      </c>
      <c r="L54" s="1">
        <v>3.6</v>
      </c>
      <c r="M54" s="1">
        <v>0.15</v>
      </c>
      <c r="N54" s="1">
        <v>0.75</v>
      </c>
      <c r="O54" s="1">
        <v>8</v>
      </c>
    </row>
    <row r="55" spans="1:10" ht="13.5" customHeight="1">
      <c r="A55" s="36" t="s">
        <v>736</v>
      </c>
      <c r="B55" s="36" t="s">
        <v>737</v>
      </c>
      <c r="C55" s="36">
        <v>3.2</v>
      </c>
      <c r="D55" s="36">
        <v>0.15</v>
      </c>
      <c r="E55" s="36">
        <v>0.5</v>
      </c>
      <c r="F55" s="36">
        <v>5</v>
      </c>
      <c r="G55" s="36">
        <v>2500</v>
      </c>
      <c r="H55" s="36">
        <v>5000</v>
      </c>
      <c r="I55" s="37">
        <f>G55*'Currency-Conversion'!$C$10</f>
        <v>7659698624.999999</v>
      </c>
      <c r="J55" s="3">
        <f>H55*'Currency-Conversion'!$C$10</f>
        <v>15319397249.999998</v>
      </c>
      <c r="K55" s="1" t="s">
        <v>2515</v>
      </c>
      <c r="L55" s="1">
        <v>3.75</v>
      </c>
      <c r="M55" s="1">
        <v>0.2</v>
      </c>
      <c r="N55" s="1">
        <v>0.65</v>
      </c>
      <c r="O55" s="1">
        <v>7</v>
      </c>
    </row>
    <row r="56" spans="1:10" ht="13.5" customHeight="1">
      <c r="A56" s="36" t="s">
        <v>738</v>
      </c>
      <c r="B56" s="36" t="s">
        <v>739</v>
      </c>
      <c r="C56" s="36">
        <v>3.2</v>
      </c>
      <c r="D56" s="36">
        <v>0.1</v>
      </c>
      <c r="E56" s="36">
        <v>0.75</v>
      </c>
      <c r="F56" s="36">
        <v>10</v>
      </c>
      <c r="G56" s="36">
        <v>1000</v>
      </c>
      <c r="H56" s="36">
        <v>2000</v>
      </c>
      <c r="I56" s="37">
        <f>G56*'Currency-Conversion'!$C$10</f>
        <v>3063879449.9999995</v>
      </c>
      <c r="J56" s="3">
        <f>H56*'Currency-Conversion'!$C$10</f>
        <v>6127758899.999999</v>
      </c>
      <c r="K56" s="1" t="s">
        <v>2516</v>
      </c>
      <c r="L56" s="1">
        <v>2.2</v>
      </c>
      <c r="M56" s="1">
        <v>0.1</v>
      </c>
      <c r="N56" s="1">
        <v>0.4</v>
      </c>
      <c r="O56" s="1">
        <v>4</v>
      </c>
    </row>
    <row r="57" spans="1:10" ht="13.5" customHeight="1">
      <c r="A57" s="36" t="s">
        <v>740</v>
      </c>
      <c r="B57" s="36" t="s">
        <v>741</v>
      </c>
      <c r="C57" s="36">
        <v>2.7</v>
      </c>
      <c r="D57" s="36">
        <v>0.15</v>
      </c>
      <c r="E57" s="36">
        <v>0.4</v>
      </c>
      <c r="F57" s="36">
        <v>6</v>
      </c>
      <c r="G57" s="36">
        <v>1000</v>
      </c>
      <c r="H57" s="36">
        <v>2000</v>
      </c>
      <c r="I57" s="37">
        <f>G57*'Currency-Conversion'!$C$10</f>
        <v>3063879449.9999995</v>
      </c>
      <c r="J57" s="3">
        <f>H57*'Currency-Conversion'!$C$10</f>
        <v>6127758899.999999</v>
      </c>
      <c r="K57" s="1" t="s">
        <v>2517</v>
      </c>
      <c r="L57" s="1">
        <v>3.6</v>
      </c>
      <c r="M57" s="1">
        <v>0.15</v>
      </c>
      <c r="N57" s="1">
        <v>0.75</v>
      </c>
      <c r="O57" s="1">
        <v>8</v>
      </c>
    </row>
    <row r="58" spans="1:10" ht="13.5" customHeight="1">
      <c r="A58" s="38" t="s">
        <v>742</v>
      </c>
      <c r="B58" s="39" t="s">
        <v>743</v>
      </c>
      <c r="C58" s="1">
        <v>3.1</v>
      </c>
      <c r="D58" s="1">
        <v>0.15</v>
      </c>
      <c r="E58" s="1">
        <v>0.45</v>
      </c>
      <c r="F58" s="1">
        <v>5</v>
      </c>
      <c r="G58" s="1">
        <v>1000</v>
      </c>
      <c r="H58" s="1">
        <v>2000</v>
      </c>
      <c r="I58" s="3">
        <f>G58*'Currency-Conversion'!$C$10</f>
        <v>3063879449.9999995</v>
      </c>
      <c r="J58" s="3">
        <f>H58*'Currency-Conversion'!$C$10</f>
        <v>6127758899.999999</v>
      </c>
      <c r="K58" s="1" t="s">
        <v>2518</v>
      </c>
      <c r="L58" s="1">
        <v>2.9</v>
      </c>
      <c r="M58" s="1">
        <v>0.2</v>
      </c>
      <c r="N58" s="1">
        <v>0.45</v>
      </c>
      <c r="O58" s="1">
        <v>5</v>
      </c>
    </row>
    <row r="59" spans="1:10" ht="13.5" customHeight="1">
      <c r="A59" s="38" t="s">
        <v>744</v>
      </c>
      <c r="B59" s="39" t="s">
        <v>676</v>
      </c>
      <c r="C59" s="1">
        <v>2.8</v>
      </c>
      <c r="D59" s="1">
        <v>0.1</v>
      </c>
      <c r="E59" s="1">
        <v>0.4</v>
      </c>
      <c r="F59" s="1">
        <v>4</v>
      </c>
      <c r="G59" s="1">
        <v>1000</v>
      </c>
      <c r="H59" s="1">
        <v>2000</v>
      </c>
      <c r="I59" s="3">
        <f>G59*'Currency-Conversion'!$C$10</f>
        <v>3063879449.9999995</v>
      </c>
      <c r="J59" s="3">
        <f>H59*'Currency-Conversion'!$C$10</f>
        <v>6127758899.999999</v>
      </c>
      <c r="K59" s="1" t="s">
        <v>2519</v>
      </c>
      <c r="L59" s="1">
        <v>3</v>
      </c>
      <c r="M59" s="1">
        <v>0.1</v>
      </c>
      <c r="N59" s="1">
        <v>0.45</v>
      </c>
      <c r="O59" s="1">
        <v>5</v>
      </c>
    </row>
    <row r="60" spans="1:10" ht="13.5" customHeight="1">
      <c r="A60" s="40" t="s">
        <v>745</v>
      </c>
      <c r="B60" s="62" t="s">
        <v>746</v>
      </c>
      <c r="C60" s="62"/>
      <c r="D60" s="62"/>
      <c r="E60" s="62"/>
      <c r="F60" s="62"/>
      <c r="G60" s="62"/>
      <c r="H60" s="62"/>
      <c r="I60" s="62"/>
      <c r="K60" s="1" t="s">
        <v>2520</v>
      </c>
      <c r="L60" s="1">
        <v>3</v>
      </c>
      <c r="M60" s="1">
        <v>0.1</v>
      </c>
      <c r="N60" s="1">
        <v>0.55</v>
      </c>
      <c r="O60" s="1">
        <v>6</v>
      </c>
    </row>
    <row r="61" spans="1:10" ht="13.5" customHeight="1">
      <c r="A61" s="38" t="s">
        <v>747</v>
      </c>
      <c r="B61" s="39" t="s">
        <v>748</v>
      </c>
      <c r="C61" s="1">
        <v>4.5</v>
      </c>
      <c r="D61" s="1">
        <v>0.1</v>
      </c>
      <c r="E61" s="1">
        <v>1.2</v>
      </c>
      <c r="F61" s="1">
        <v>15</v>
      </c>
      <c r="G61" s="1">
        <v>1000</v>
      </c>
      <c r="H61" s="1">
        <v>2000</v>
      </c>
      <c r="I61" s="3">
        <f>G61*'Currency-Conversion'!$C$10</f>
        <v>3063879449.9999995</v>
      </c>
      <c r="J61" s="3">
        <f>H61*'Currency-Conversion'!$C$10</f>
        <v>6127758899.999999</v>
      </c>
      <c r="K61" s="1" t="s">
        <v>2521</v>
      </c>
      <c r="L61" s="1">
        <v>2.5</v>
      </c>
      <c r="M61" s="1">
        <v>0.15</v>
      </c>
      <c r="N61" s="1">
        <v>0.4</v>
      </c>
      <c r="O61" s="1">
        <v>4</v>
      </c>
    </row>
    <row r="62" spans="1:10" ht="13.5" customHeight="1">
      <c r="A62" s="36" t="s">
        <v>749</v>
      </c>
      <c r="B62" s="36" t="s">
        <v>750</v>
      </c>
      <c r="C62" s="36">
        <v>3.6</v>
      </c>
      <c r="D62" s="36">
        <v>0.15</v>
      </c>
      <c r="E62" s="36">
        <v>0.75</v>
      </c>
      <c r="F62" s="36">
        <v>8</v>
      </c>
      <c r="G62" s="36">
        <v>1000</v>
      </c>
      <c r="H62" s="36">
        <v>2000</v>
      </c>
      <c r="I62" s="37">
        <f>G62*'Currency-Conversion'!$C$10</f>
        <v>3063879449.9999995</v>
      </c>
      <c r="J62" s="3">
        <f>H62*'Currency-Conversion'!$C$10</f>
        <v>6127758899.999999</v>
      </c>
      <c r="K62" s="1" t="s">
        <v>2522</v>
      </c>
      <c r="L62" s="1">
        <v>2.2</v>
      </c>
      <c r="M62" s="1">
        <v>0.2</v>
      </c>
      <c r="N62" s="1">
        <v>0.4</v>
      </c>
      <c r="O62" s="1">
        <v>4</v>
      </c>
    </row>
    <row r="63" spans="1:10" ht="13.5" customHeight="1">
      <c r="A63" s="36" t="s">
        <v>751</v>
      </c>
      <c r="B63" s="36" t="s">
        <v>752</v>
      </c>
      <c r="C63" s="36">
        <v>3.75</v>
      </c>
      <c r="D63" s="36">
        <v>0.2</v>
      </c>
      <c r="E63" s="36">
        <v>0.65</v>
      </c>
      <c r="F63" s="36">
        <v>7</v>
      </c>
      <c r="G63" s="36">
        <v>1000</v>
      </c>
      <c r="H63" s="36">
        <v>2000</v>
      </c>
      <c r="I63" s="37">
        <f>G63*'Currency-Conversion'!$C$10</f>
        <v>3063879449.9999995</v>
      </c>
      <c r="J63" s="3">
        <f>H63*'Currency-Conversion'!$C$10</f>
        <v>6127758899.999999</v>
      </c>
      <c r="K63" s="1" t="s">
        <v>2523</v>
      </c>
      <c r="L63" s="1">
        <v>2.5</v>
      </c>
      <c r="M63" s="1">
        <v>0.2</v>
      </c>
      <c r="N63" s="1">
        <v>1.45</v>
      </c>
      <c r="O63" s="1">
        <v>5</v>
      </c>
    </row>
    <row r="64" spans="1:10" ht="13.5" customHeight="1">
      <c r="A64" s="36" t="s">
        <v>753</v>
      </c>
      <c r="B64" s="36" t="s">
        <v>676</v>
      </c>
      <c r="C64" s="36">
        <v>2.2000000000000002</v>
      </c>
      <c r="D64" s="36">
        <v>0.1</v>
      </c>
      <c r="E64" s="36">
        <v>0.4</v>
      </c>
      <c r="F64" s="36">
        <v>4</v>
      </c>
      <c r="G64" s="36">
        <v>1500</v>
      </c>
      <c r="H64" s="36">
        <v>1000</v>
      </c>
      <c r="I64" s="37">
        <f>G64*'Currency-Conversion'!$C$10</f>
        <v>4595819175</v>
      </c>
      <c r="J64" s="3">
        <f>H64*'Currency-Conversion'!$C$10</f>
        <v>3063879449.9999995</v>
      </c>
      <c r="K64" s="1" t="s">
        <v>2524</v>
      </c>
      <c r="L64" s="1">
        <v>2</v>
      </c>
      <c r="M64" s="1">
        <v>0.15</v>
      </c>
      <c r="N64" s="1">
        <v>0.5</v>
      </c>
      <c r="O64" s="1">
        <v>3</v>
      </c>
    </row>
    <row r="65" spans="1:10" ht="13.5" customHeight="1">
      <c r="A65" s="40" t="s">
        <v>754</v>
      </c>
      <c r="B65" s="62" t="s">
        <v>755</v>
      </c>
      <c r="C65" s="62"/>
      <c r="D65" s="62"/>
      <c r="E65" s="62"/>
      <c r="F65" s="62"/>
      <c r="G65" s="62"/>
      <c r="H65" s="62"/>
      <c r="I65" s="62"/>
      <c r="K65" s="1" t="s">
        <v>2525</v>
      </c>
      <c r="L65" s="1">
        <v>2.5</v>
      </c>
      <c r="M65" s="1">
        <v>0.2</v>
      </c>
      <c r="N65" s="1">
        <v>0.6</v>
      </c>
      <c r="O65" s="1">
        <v>6</v>
      </c>
    </row>
    <row r="66" spans="1:10" ht="13.5" customHeight="1">
      <c r="A66" s="36" t="s">
        <v>756</v>
      </c>
      <c r="B66" s="36" t="s">
        <v>757</v>
      </c>
      <c r="C66" s="36">
        <v>3.6</v>
      </c>
      <c r="D66" s="36">
        <v>0.15</v>
      </c>
      <c r="E66" s="36">
        <v>0.75</v>
      </c>
      <c r="F66" s="36">
        <v>8</v>
      </c>
      <c r="G66" s="36">
        <v>1000</v>
      </c>
      <c r="H66" s="36">
        <v>2000</v>
      </c>
      <c r="I66" s="37">
        <f>G66*'Currency-Conversion'!$C$10</f>
        <v>3063879449.9999995</v>
      </c>
      <c r="J66" s="3">
        <f>H66*'Currency-Conversion'!$C$10</f>
        <v>6127758899.999999</v>
      </c>
      <c r="K66" s="1" t="s">
        <v>2526</v>
      </c>
      <c r="L66" s="1">
        <v>2.4</v>
      </c>
      <c r="M66" s="1">
        <v>0.2</v>
      </c>
      <c r="N66" s="1">
        <v>0.5</v>
      </c>
      <c r="O66" s="1">
        <v>5</v>
      </c>
    </row>
    <row r="67" spans="1:10" ht="13.5" customHeight="1">
      <c r="A67" s="36" t="s">
        <v>758</v>
      </c>
      <c r="B67" s="36" t="s">
        <v>759</v>
      </c>
      <c r="C67" s="36">
        <v>2.9</v>
      </c>
      <c r="D67" s="36">
        <v>0.2</v>
      </c>
      <c r="E67" s="36">
        <v>0.45</v>
      </c>
      <c r="F67" s="36">
        <v>5</v>
      </c>
      <c r="G67" s="36">
        <v>500</v>
      </c>
      <c r="H67" s="36">
        <v>1000</v>
      </c>
      <c r="I67" s="37">
        <f>G67*'Currency-Conversion'!$C$10</f>
        <v>1531939724.9999998</v>
      </c>
      <c r="J67" s="3">
        <f>H67*'Currency-Conversion'!$C$10</f>
        <v>3063879449.9999995</v>
      </c>
      <c r="K67" s="1" t="s">
        <v>2527</v>
      </c>
      <c r="L67" s="1">
        <v>2</v>
      </c>
      <c r="M67" s="1">
        <v>0.15</v>
      </c>
      <c r="N67" s="1">
        <v>0.4</v>
      </c>
      <c r="O67" s="1">
        <v>3</v>
      </c>
    </row>
    <row r="68" spans="1:10" ht="13.5" customHeight="1">
      <c r="A68" s="38" t="s">
        <v>760</v>
      </c>
      <c r="B68" s="39" t="s">
        <v>761</v>
      </c>
      <c r="C68" s="1">
        <v>3</v>
      </c>
      <c r="D68" s="1">
        <v>0.1</v>
      </c>
      <c r="E68" s="1">
        <v>0.45</v>
      </c>
      <c r="F68" s="1">
        <v>5</v>
      </c>
      <c r="G68" s="1">
        <v>2500</v>
      </c>
      <c r="H68" s="1">
        <v>5000</v>
      </c>
      <c r="I68" s="3">
        <f>G68*'Currency-Conversion'!$C$10</f>
        <v>7659698624.999999</v>
      </c>
      <c r="J68" s="3">
        <f>H68*'Currency-Conversion'!$C$10</f>
        <v>15319397249.999998</v>
      </c>
      <c r="K68" s="1" t="s">
        <v>2528</v>
      </c>
      <c r="L68" s="1">
        <v>2.5</v>
      </c>
      <c r="M68" s="1">
        <v>0.15</v>
      </c>
      <c r="N68" s="1">
        <v>0.4</v>
      </c>
      <c r="O68" s="1">
        <v>4</v>
      </c>
    </row>
    <row r="69" spans="1:10" ht="13.5" customHeight="1">
      <c r="A69" s="38" t="s">
        <v>762</v>
      </c>
      <c r="B69" s="39" t="s">
        <v>763</v>
      </c>
      <c r="C69" s="1">
        <v>3</v>
      </c>
      <c r="D69" s="1">
        <v>0.1</v>
      </c>
      <c r="E69" s="1">
        <v>0.55000000000000004</v>
      </c>
      <c r="F69" s="1">
        <v>6</v>
      </c>
      <c r="G69" s="1">
        <v>2500</v>
      </c>
      <c r="H69" s="1">
        <v>5000</v>
      </c>
      <c r="I69" s="3">
        <f>G69*'Currency-Conversion'!$C$10</f>
        <v>7659698624.999999</v>
      </c>
      <c r="J69" s="3">
        <f>H69*'Currency-Conversion'!$C$10</f>
        <v>15319397249.999998</v>
      </c>
      <c r="K69" s="1" t="s">
        <v>2529</v>
      </c>
      <c r="L69" s="1">
        <v>2</v>
      </c>
      <c r="M69" s="1">
        <v>0.2</v>
      </c>
      <c r="N69" s="1">
        <v>0.4</v>
      </c>
      <c r="O69" s="1">
        <v>5</v>
      </c>
    </row>
    <row r="70" spans="1:10" ht="13.5" customHeight="1">
      <c r="A70" s="38" t="s">
        <v>764</v>
      </c>
      <c r="B70" s="39" t="s">
        <v>676</v>
      </c>
      <c r="C70" s="1">
        <v>2.5</v>
      </c>
      <c r="D70" s="1">
        <v>0.15</v>
      </c>
      <c r="E70" s="1">
        <v>0.4</v>
      </c>
      <c r="F70" s="1">
        <v>4</v>
      </c>
      <c r="G70" s="1">
        <v>500</v>
      </c>
      <c r="H70" s="1">
        <v>1000</v>
      </c>
      <c r="I70" s="3">
        <f>G70*'Currency-Conversion'!$C$10</f>
        <v>1531939724.9999998</v>
      </c>
      <c r="J70" s="3">
        <f>H70*'Currency-Conversion'!$C$10</f>
        <v>3063879449.9999995</v>
      </c>
      <c r="K70" s="1" t="s">
        <v>2530</v>
      </c>
      <c r="L70" s="1">
        <v>1.8</v>
      </c>
      <c r="M70" s="1">
        <v>0.1</v>
      </c>
      <c r="N70" s="1">
        <v>0.3</v>
      </c>
      <c r="O70" s="1">
        <v>2</v>
      </c>
    </row>
    <row r="71" spans="1:10" ht="13.5" customHeight="1">
      <c r="A71" s="40" t="s">
        <v>765</v>
      </c>
      <c r="B71" s="62" t="s">
        <v>766</v>
      </c>
      <c r="C71" s="62"/>
      <c r="D71" s="62"/>
      <c r="E71" s="62"/>
      <c r="F71" s="62"/>
      <c r="G71" s="62"/>
      <c r="H71" s="62"/>
      <c r="I71" s="62"/>
      <c r="K71" s="1" t="s">
        <v>2531</v>
      </c>
      <c r="L71" s="1">
        <v>2</v>
      </c>
      <c r="M71" s="1">
        <v>0.15</v>
      </c>
      <c r="N71" s="1">
        <v>0.35</v>
      </c>
      <c r="O71" s="1">
        <v>3</v>
      </c>
    </row>
    <row r="72" spans="1:10" ht="13.5" customHeight="1">
      <c r="A72" s="36" t="s">
        <v>767</v>
      </c>
      <c r="B72" s="36" t="s">
        <v>768</v>
      </c>
      <c r="C72" s="36">
        <v>2.2000000000000002</v>
      </c>
      <c r="D72" s="36">
        <v>0.2</v>
      </c>
      <c r="E72" s="36">
        <v>0.4</v>
      </c>
      <c r="F72" s="36">
        <v>4</v>
      </c>
      <c r="G72" s="36">
        <v>1000</v>
      </c>
      <c r="H72" s="36">
        <v>2000</v>
      </c>
      <c r="I72" s="37">
        <f>G72*'Currency-Conversion'!$C$10</f>
        <v>3063879449.9999995</v>
      </c>
      <c r="J72" s="3">
        <f>H72*'Currency-Conversion'!$C$10</f>
        <v>6127758899.999999</v>
      </c>
      <c r="K72" s="1" t="s">
        <v>2532</v>
      </c>
      <c r="L72" s="1">
        <v>1.8</v>
      </c>
      <c r="M72" s="1">
        <v>0.2</v>
      </c>
      <c r="N72" s="1">
        <v>0.4</v>
      </c>
      <c r="O72" s="1">
        <v>4</v>
      </c>
    </row>
    <row r="73" spans="1:10" ht="13.5" customHeight="1">
      <c r="A73" s="36" t="s">
        <v>769</v>
      </c>
      <c r="B73" s="36" t="s">
        <v>770</v>
      </c>
      <c r="C73" s="36">
        <v>2.5</v>
      </c>
      <c r="D73" s="36">
        <v>0.2</v>
      </c>
      <c r="E73" s="36">
        <v>1.45</v>
      </c>
      <c r="F73" s="36">
        <v>5</v>
      </c>
      <c r="G73" s="36">
        <v>1000</v>
      </c>
      <c r="H73" s="36">
        <v>2000</v>
      </c>
      <c r="I73" s="37">
        <f>G73*'Currency-Conversion'!$C$10</f>
        <v>3063879449.9999995</v>
      </c>
      <c r="J73" s="3">
        <f>H73*'Currency-Conversion'!$C$10</f>
        <v>6127758899.999999</v>
      </c>
      <c r="K73" s="1" t="s">
        <v>2533</v>
      </c>
      <c r="L73" s="1">
        <v>2</v>
      </c>
      <c r="M73" s="1">
        <v>0.2</v>
      </c>
      <c r="N73" s="1">
        <v>0.5</v>
      </c>
      <c r="O73" s="1">
        <v>5</v>
      </c>
    </row>
    <row r="74" spans="1:10" ht="13.5" customHeight="1">
      <c r="A74" s="36" t="s">
        <v>771</v>
      </c>
      <c r="B74" s="36" t="s">
        <v>772</v>
      </c>
      <c r="C74" s="36">
        <v>2</v>
      </c>
      <c r="D74" s="36">
        <v>0.15</v>
      </c>
      <c r="E74" s="36">
        <v>0.5</v>
      </c>
      <c r="F74" s="36">
        <v>3</v>
      </c>
      <c r="G74" s="36">
        <v>500</v>
      </c>
      <c r="H74" s="36">
        <v>1000</v>
      </c>
      <c r="I74" s="37">
        <f>G74*'Currency-Conversion'!$C$10</f>
        <v>1531939724.9999998</v>
      </c>
      <c r="J74" s="3">
        <f>H74*'Currency-Conversion'!$C$10</f>
        <v>3063879449.9999995</v>
      </c>
      <c r="K74" s="1" t="s">
        <v>2534</v>
      </c>
      <c r="L74" s="1">
        <v>1.8</v>
      </c>
      <c r="M74" s="1">
        <v>0.1</v>
      </c>
      <c r="N74" s="1">
        <v>0.3</v>
      </c>
      <c r="O74" s="1">
        <v>3</v>
      </c>
    </row>
    <row r="75" spans="1:10" ht="13.5" customHeight="1">
      <c r="A75" s="36" t="s">
        <v>773</v>
      </c>
      <c r="B75" s="36" t="s">
        <v>774</v>
      </c>
      <c r="C75" s="36">
        <v>2.5</v>
      </c>
      <c r="D75" s="36">
        <v>0.2</v>
      </c>
      <c r="E75" s="36">
        <v>0.6</v>
      </c>
      <c r="F75" s="36">
        <v>6</v>
      </c>
      <c r="G75" s="36">
        <v>500</v>
      </c>
      <c r="H75" s="36">
        <v>1000</v>
      </c>
      <c r="I75" s="37">
        <f>G75*'Currency-Conversion'!$C$10</f>
        <v>1531939724.9999998</v>
      </c>
      <c r="J75" s="3">
        <f>H75*'Currency-Conversion'!$C$10</f>
        <v>3063879449.9999995</v>
      </c>
      <c r="K75" s="1" t="s">
        <v>2535</v>
      </c>
      <c r="L75" s="1">
        <v>3.5</v>
      </c>
      <c r="M75" s="1">
        <v>0.2</v>
      </c>
      <c r="N75" s="1">
        <v>0.9</v>
      </c>
      <c r="O75" s="1">
        <v>10</v>
      </c>
    </row>
    <row r="76" spans="1:10" ht="13.5" customHeight="1">
      <c r="A76" s="36" t="s">
        <v>775</v>
      </c>
      <c r="B76" s="36" t="s">
        <v>776</v>
      </c>
      <c r="C76" s="36">
        <v>2.4</v>
      </c>
      <c r="D76" s="36">
        <v>0.2</v>
      </c>
      <c r="E76" s="36">
        <v>0.5</v>
      </c>
      <c r="F76" s="36">
        <v>5</v>
      </c>
      <c r="G76" s="36">
        <v>500</v>
      </c>
      <c r="H76" s="36">
        <v>1000</v>
      </c>
      <c r="I76" s="37">
        <f>G76*'Currency-Conversion'!$C$10</f>
        <v>1531939724.9999998</v>
      </c>
      <c r="J76" s="3">
        <f>H76*'Currency-Conversion'!$C$10</f>
        <v>3063879449.9999995</v>
      </c>
      <c r="K76" s="1" t="s">
        <v>2536</v>
      </c>
      <c r="L76" s="1">
        <v>3.2</v>
      </c>
      <c r="M76" s="1">
        <v>0.2</v>
      </c>
      <c r="N76" s="1">
        <v>0.65</v>
      </c>
      <c r="O76" s="1">
        <v>7</v>
      </c>
    </row>
    <row r="77" spans="1:10" ht="13.5" customHeight="1">
      <c r="A77" s="36" t="s">
        <v>777</v>
      </c>
      <c r="B77" s="36" t="s">
        <v>676</v>
      </c>
      <c r="C77" s="36">
        <v>2</v>
      </c>
      <c r="D77" s="36">
        <v>0.15</v>
      </c>
      <c r="E77" s="36">
        <v>0.4</v>
      </c>
      <c r="F77" s="36">
        <v>3</v>
      </c>
      <c r="G77" s="36">
        <v>500</v>
      </c>
      <c r="H77" s="36">
        <v>1000</v>
      </c>
      <c r="I77" s="37">
        <f>G77*'Currency-Conversion'!$C$10</f>
        <v>1531939724.9999998</v>
      </c>
      <c r="J77" s="3">
        <f>H77*'Currency-Conversion'!$C$10</f>
        <v>3063879449.9999995</v>
      </c>
      <c r="K77" s="1" t="s">
        <v>2537</v>
      </c>
      <c r="L77" s="1">
        <v>3</v>
      </c>
      <c r="M77" s="1">
        <v>0.2</v>
      </c>
      <c r="N77" s="1">
        <v>0.5</v>
      </c>
      <c r="O77" s="1">
        <v>5</v>
      </c>
    </row>
    <row r="78" spans="1:10" ht="13.5" customHeight="1">
      <c r="A78" s="35" t="s">
        <v>778</v>
      </c>
      <c r="B78" s="61" t="s">
        <v>779</v>
      </c>
      <c r="C78" s="61"/>
      <c r="D78" s="61"/>
      <c r="E78" s="61"/>
      <c r="F78" s="61"/>
      <c r="G78" s="61"/>
      <c r="H78" s="61"/>
      <c r="I78" s="61"/>
      <c r="K78" s="1" t="s">
        <v>2538</v>
      </c>
      <c r="L78" s="1">
        <v>3.2</v>
      </c>
      <c r="M78" s="1">
        <v>0.2</v>
      </c>
      <c r="N78" s="1">
        <v>0.65</v>
      </c>
      <c r="O78" s="1">
        <v>8</v>
      </c>
    </row>
    <row r="79" spans="1:10" ht="13.5" customHeight="1">
      <c r="A79" s="38" t="s">
        <v>780</v>
      </c>
      <c r="B79" s="39" t="s">
        <v>781</v>
      </c>
      <c r="C79" s="1">
        <v>2.5</v>
      </c>
      <c r="D79" s="1">
        <v>0.15</v>
      </c>
      <c r="E79" s="1">
        <v>0.4</v>
      </c>
      <c r="F79" s="1">
        <v>4</v>
      </c>
      <c r="G79" s="1">
        <v>500</v>
      </c>
      <c r="H79" s="1">
        <v>1000</v>
      </c>
      <c r="I79" s="3">
        <f>G79*'Currency-Conversion'!$C$10</f>
        <v>1531939724.9999998</v>
      </c>
      <c r="J79" s="3">
        <f>H79*'Currency-Conversion'!$C$10</f>
        <v>3063879449.9999995</v>
      </c>
      <c r="K79" s="1" t="s">
        <v>2539</v>
      </c>
      <c r="L79" s="1">
        <v>2.5</v>
      </c>
      <c r="M79" s="1">
        <v>0.15</v>
      </c>
      <c r="N79" s="1">
        <v>0.45</v>
      </c>
      <c r="O79" s="1">
        <v>5</v>
      </c>
    </row>
    <row r="80" spans="1:10" ht="13.5" customHeight="1">
      <c r="A80" s="35" t="s">
        <v>782</v>
      </c>
      <c r="B80" s="61" t="s">
        <v>783</v>
      </c>
      <c r="C80" s="61"/>
      <c r="D80" s="61"/>
      <c r="E80" s="61"/>
      <c r="F80" s="61"/>
      <c r="G80" s="61"/>
      <c r="H80" s="61"/>
      <c r="I80" s="61"/>
      <c r="K80" s="1" t="s">
        <v>2540</v>
      </c>
      <c r="L80" s="1">
        <v>2.6</v>
      </c>
      <c r="M80" s="1">
        <v>0.2</v>
      </c>
      <c r="N80" s="1">
        <v>0.4</v>
      </c>
      <c r="O80" s="1">
        <v>4</v>
      </c>
    </row>
    <row r="81" spans="1:10" ht="13.5" customHeight="1">
      <c r="A81" s="38" t="s">
        <v>784</v>
      </c>
      <c r="B81" s="39" t="s">
        <v>785</v>
      </c>
      <c r="C81" s="1">
        <v>2</v>
      </c>
      <c r="D81" s="1">
        <v>0.2</v>
      </c>
      <c r="E81" s="1">
        <v>0.4</v>
      </c>
      <c r="F81" s="1">
        <v>5</v>
      </c>
      <c r="G81" s="1">
        <v>1000</v>
      </c>
      <c r="H81" s="1">
        <v>2000</v>
      </c>
      <c r="I81" s="3">
        <f>G81*'Currency-Conversion'!$C$10</f>
        <v>3063879449.9999995</v>
      </c>
      <c r="J81" s="3">
        <f>H81*'Currency-Conversion'!$C$10</f>
        <v>6127758899.999999</v>
      </c>
      <c r="K81" s="1" t="s">
        <v>2541</v>
      </c>
      <c r="L81" s="1">
        <v>2.8</v>
      </c>
      <c r="M81" s="1">
        <v>0.2</v>
      </c>
      <c r="N81" s="1">
        <v>0.45</v>
      </c>
      <c r="O81" s="1">
        <v>5</v>
      </c>
    </row>
    <row r="82" spans="1:10" ht="13.5" customHeight="1">
      <c r="A82" s="36" t="s">
        <v>786</v>
      </c>
      <c r="B82" s="36" t="s">
        <v>787</v>
      </c>
      <c r="C82" s="36">
        <v>1.8</v>
      </c>
      <c r="D82" s="36">
        <v>0.1</v>
      </c>
      <c r="E82" s="36">
        <v>0.3</v>
      </c>
      <c r="F82" s="36">
        <v>2</v>
      </c>
      <c r="G82" s="36">
        <v>500</v>
      </c>
      <c r="H82" s="36">
        <v>1000</v>
      </c>
      <c r="I82" s="37">
        <f>G82*'Currency-Conversion'!$C$10</f>
        <v>1531939724.9999998</v>
      </c>
      <c r="J82" s="3">
        <f>H82*'Currency-Conversion'!$C$10</f>
        <v>3063879449.9999995</v>
      </c>
      <c r="K82" s="1" t="s">
        <v>2542</v>
      </c>
      <c r="L82" s="1">
        <v>2.6</v>
      </c>
      <c r="M82" s="1">
        <v>0.2</v>
      </c>
      <c r="N82" s="1">
        <v>0.5</v>
      </c>
      <c r="O82" s="1">
        <v>5</v>
      </c>
    </row>
    <row r="83" spans="1:10" ht="13.5" customHeight="1">
      <c r="A83" s="36" t="s">
        <v>788</v>
      </c>
      <c r="B83" s="36" t="s">
        <v>789</v>
      </c>
      <c r="C83" s="36">
        <v>2</v>
      </c>
      <c r="D83" s="36">
        <v>0.15</v>
      </c>
      <c r="E83" s="36">
        <v>0.35</v>
      </c>
      <c r="F83" s="36">
        <v>3</v>
      </c>
      <c r="G83" s="36">
        <v>500</v>
      </c>
      <c r="H83" s="36">
        <v>1000</v>
      </c>
      <c r="I83" s="37">
        <f>G83*'Currency-Conversion'!$C$10</f>
        <v>1531939724.9999998</v>
      </c>
      <c r="J83" s="3">
        <f>H83*'Currency-Conversion'!$C$10</f>
        <v>3063879449.9999995</v>
      </c>
      <c r="K83" s="1" t="s">
        <v>2543</v>
      </c>
      <c r="L83" s="1">
        <v>3.1</v>
      </c>
      <c r="M83" s="1">
        <v>0.2</v>
      </c>
      <c r="N83" s="1">
        <v>0.55</v>
      </c>
      <c r="O83" s="1">
        <v>6</v>
      </c>
    </row>
    <row r="84" spans="1:10" ht="13.5" customHeight="1">
      <c r="A84" s="36" t="s">
        <v>790</v>
      </c>
      <c r="B84" s="36" t="s">
        <v>791</v>
      </c>
      <c r="C84" s="36">
        <v>1.8</v>
      </c>
      <c r="D84" s="36">
        <v>0.2</v>
      </c>
      <c r="E84" s="36">
        <v>0.4</v>
      </c>
      <c r="F84" s="36">
        <v>4</v>
      </c>
      <c r="G84" s="36">
        <v>500</v>
      </c>
      <c r="H84" s="36">
        <v>1000</v>
      </c>
      <c r="I84" s="37">
        <f>G84*'Currency-Conversion'!$C$10</f>
        <v>1531939724.9999998</v>
      </c>
      <c r="J84" s="3">
        <f>H84*'Currency-Conversion'!$C$10</f>
        <v>3063879449.9999995</v>
      </c>
      <c r="K84" s="1" t="s">
        <v>2544</v>
      </c>
      <c r="L84" s="1">
        <v>4.25</v>
      </c>
      <c r="M84" s="1">
        <v>0.25</v>
      </c>
      <c r="N84" s="1">
        <v>1</v>
      </c>
      <c r="O84" s="1">
        <v>12</v>
      </c>
    </row>
    <row r="85" spans="1:10" ht="13.5" customHeight="1">
      <c r="A85" s="36" t="s">
        <v>792</v>
      </c>
      <c r="B85" s="36" t="s">
        <v>793</v>
      </c>
      <c r="C85" s="36">
        <v>2</v>
      </c>
      <c r="D85" s="36">
        <v>0.2</v>
      </c>
      <c r="E85" s="36">
        <v>0.5</v>
      </c>
      <c r="F85" s="36">
        <v>5</v>
      </c>
      <c r="G85" s="36">
        <v>1000</v>
      </c>
      <c r="H85" s="36">
        <v>2000</v>
      </c>
      <c r="I85" s="37">
        <f>G85*'Currency-Conversion'!$C$10</f>
        <v>3063879449.9999995</v>
      </c>
      <c r="J85" s="3">
        <f>H85*'Currency-Conversion'!$C$10</f>
        <v>6127758899.999999</v>
      </c>
      <c r="K85" s="1" t="s">
        <v>2545</v>
      </c>
      <c r="L85" s="1">
        <v>3.8</v>
      </c>
      <c r="M85" s="1">
        <v>0.2</v>
      </c>
      <c r="N85" s="1">
        <v>0.75</v>
      </c>
      <c r="O85" s="1">
        <v>10</v>
      </c>
    </row>
    <row r="86" spans="1:10" ht="13.5" customHeight="1">
      <c r="A86" s="36" t="s">
        <v>794</v>
      </c>
      <c r="B86" s="36" t="s">
        <v>676</v>
      </c>
      <c r="C86" s="36">
        <v>1.8</v>
      </c>
      <c r="D86" s="36">
        <v>0.1</v>
      </c>
      <c r="E86" s="36">
        <v>0.3</v>
      </c>
      <c r="F86" s="36">
        <v>3</v>
      </c>
      <c r="G86" s="36">
        <v>500</v>
      </c>
      <c r="H86" s="36">
        <v>1000</v>
      </c>
      <c r="I86" s="37">
        <f>G86*'Currency-Conversion'!$C$10</f>
        <v>1531939724.9999998</v>
      </c>
      <c r="J86" s="3">
        <f>H86*'Currency-Conversion'!$C$10</f>
        <v>3063879449.9999995</v>
      </c>
      <c r="K86" s="1" t="s">
        <v>2546</v>
      </c>
      <c r="L86" s="1">
        <v>2.1</v>
      </c>
      <c r="M86" s="1">
        <v>0.25</v>
      </c>
      <c r="N86" s="1">
        <v>0.4</v>
      </c>
      <c r="O86" s="1">
        <v>3</v>
      </c>
    </row>
    <row r="87" spans="1:10" ht="13.5" customHeight="1">
      <c r="A87" s="35" t="s">
        <v>795</v>
      </c>
      <c r="B87" s="61" t="s">
        <v>796</v>
      </c>
      <c r="C87" s="61"/>
      <c r="D87" s="61"/>
      <c r="E87" s="61"/>
      <c r="F87" s="61"/>
      <c r="G87" s="61"/>
      <c r="H87" s="61"/>
      <c r="I87" s="61"/>
      <c r="K87" s="1" t="s">
        <v>2547</v>
      </c>
      <c r="L87" s="1">
        <v>2.9</v>
      </c>
      <c r="M87" s="1">
        <v>0.15</v>
      </c>
      <c r="N87" s="1">
        <v>0.5</v>
      </c>
      <c r="O87" s="1">
        <v>5</v>
      </c>
    </row>
    <row r="88" spans="1:10" ht="13.5" customHeight="1">
      <c r="A88" s="1" t="s">
        <v>797</v>
      </c>
      <c r="B88" s="1" t="s">
        <v>798</v>
      </c>
      <c r="C88" s="1">
        <v>3.5</v>
      </c>
      <c r="D88" s="1">
        <v>0.2</v>
      </c>
      <c r="E88" s="1">
        <v>0.9</v>
      </c>
      <c r="F88" s="1">
        <v>10</v>
      </c>
      <c r="G88" s="1">
        <v>1250</v>
      </c>
      <c r="H88" s="1">
        <v>2500</v>
      </c>
      <c r="I88" s="3">
        <f>G88*'Currency-Conversion'!$C$10</f>
        <v>3829849312.4999995</v>
      </c>
      <c r="J88" s="3">
        <f>H88*'Currency-Conversion'!$C$10</f>
        <v>7659698624.999999</v>
      </c>
      <c r="K88" s="1" t="s">
        <v>2548</v>
      </c>
      <c r="L88" s="1">
        <v>3.2</v>
      </c>
      <c r="M88" s="1">
        <v>0.15</v>
      </c>
      <c r="N88" s="1">
        <v>0.5</v>
      </c>
      <c r="O88" s="1">
        <v>5</v>
      </c>
    </row>
    <row r="89" spans="1:10" ht="13.5" customHeight="1">
      <c r="A89" s="1" t="s">
        <v>799</v>
      </c>
      <c r="B89" s="1" t="s">
        <v>800</v>
      </c>
      <c r="C89" s="1">
        <v>3.2</v>
      </c>
      <c r="D89" s="1">
        <v>0.2</v>
      </c>
      <c r="E89" s="1">
        <v>0.65</v>
      </c>
      <c r="F89" s="1">
        <v>7</v>
      </c>
      <c r="G89" s="1">
        <v>500</v>
      </c>
      <c r="H89" s="1">
        <v>1000</v>
      </c>
      <c r="I89" s="3">
        <f>G89*'Currency-Conversion'!$C$10</f>
        <v>1531939724.9999998</v>
      </c>
      <c r="J89" s="3">
        <f>H89*'Currency-Conversion'!$C$10</f>
        <v>3063879449.9999995</v>
      </c>
      <c r="K89" s="1" t="s">
        <v>2549</v>
      </c>
      <c r="L89" s="1">
        <v>3.4</v>
      </c>
      <c r="M89" s="1">
        <v>0.15</v>
      </c>
      <c r="N89" s="1">
        <v>0.75</v>
      </c>
      <c r="O89" s="1">
        <v>8</v>
      </c>
    </row>
    <row r="90" spans="1:10" ht="13.5" customHeight="1">
      <c r="A90" s="1" t="s">
        <v>801</v>
      </c>
      <c r="B90" s="1" t="s">
        <v>802</v>
      </c>
      <c r="C90" s="1">
        <v>3</v>
      </c>
      <c r="D90" s="1">
        <v>0.2</v>
      </c>
      <c r="E90" s="1">
        <v>0.5</v>
      </c>
      <c r="F90" s="1">
        <v>5</v>
      </c>
      <c r="G90" s="1">
        <v>2500</v>
      </c>
      <c r="H90" s="1">
        <v>5000</v>
      </c>
      <c r="I90" s="3">
        <f>G90*'Currency-Conversion'!$C$10</f>
        <v>7659698624.999999</v>
      </c>
      <c r="J90" s="3">
        <f>H90*'Currency-Conversion'!$C$10</f>
        <v>15319397249.999998</v>
      </c>
      <c r="K90" s="1" t="s">
        <v>2550</v>
      </c>
      <c r="L90" s="1">
        <v>3.3</v>
      </c>
      <c r="M90" s="1">
        <v>0.2</v>
      </c>
      <c r="N90" s="1">
        <v>0.6</v>
      </c>
      <c r="O90" s="1">
        <v>6</v>
      </c>
    </row>
    <row r="91" spans="1:10" ht="13.5" customHeight="1">
      <c r="A91" s="1" t="s">
        <v>803</v>
      </c>
      <c r="B91" s="1" t="s">
        <v>804</v>
      </c>
      <c r="C91" s="1">
        <v>3.2</v>
      </c>
      <c r="D91" s="1">
        <v>0.2</v>
      </c>
      <c r="E91" s="1">
        <v>0.65</v>
      </c>
      <c r="F91" s="1">
        <v>8</v>
      </c>
      <c r="G91" s="1">
        <v>1000</v>
      </c>
      <c r="H91" s="1">
        <v>2000</v>
      </c>
      <c r="I91" s="3">
        <f>G91*'Currency-Conversion'!$C$10</f>
        <v>3063879449.9999995</v>
      </c>
      <c r="J91" s="3">
        <f>H91*'Currency-Conversion'!$C$10</f>
        <v>6127758899.999999</v>
      </c>
      <c r="K91" s="1" t="s">
        <v>2551</v>
      </c>
      <c r="L91" s="1">
        <v>2.5</v>
      </c>
      <c r="M91" s="1">
        <v>0.1</v>
      </c>
      <c r="N91" s="1">
        <v>0.4</v>
      </c>
      <c r="O91" s="1">
        <v>4</v>
      </c>
    </row>
    <row r="92" spans="1:10" ht="13.5" customHeight="1">
      <c r="A92" s="1" t="s">
        <v>805</v>
      </c>
      <c r="B92" s="1" t="s">
        <v>676</v>
      </c>
      <c r="C92" s="1">
        <v>2.5</v>
      </c>
      <c r="D92" s="1">
        <v>0.15</v>
      </c>
      <c r="E92" s="1">
        <v>0.45</v>
      </c>
      <c r="F92" s="1">
        <v>5</v>
      </c>
      <c r="G92" s="1">
        <v>500</v>
      </c>
      <c r="H92" s="1">
        <v>1000</v>
      </c>
      <c r="I92" s="3">
        <f>G92*'Currency-Conversion'!$C$10</f>
        <v>1531939724.9999998</v>
      </c>
      <c r="J92" s="3">
        <f>H92*'Currency-Conversion'!$C$10</f>
        <v>3063879449.9999995</v>
      </c>
      <c r="K92" s="1" t="s">
        <v>2552</v>
      </c>
      <c r="L92" s="1">
        <v>2.4</v>
      </c>
      <c r="M92" s="1">
        <v>0.15</v>
      </c>
      <c r="N92" s="1">
        <v>0.3</v>
      </c>
      <c r="O92" s="1">
        <v>3</v>
      </c>
    </row>
    <row r="93" spans="1:10" ht="13.5" customHeight="1">
      <c r="A93" s="41" t="s">
        <v>806</v>
      </c>
      <c r="B93" s="63" t="s">
        <v>807</v>
      </c>
      <c r="C93" s="63"/>
      <c r="D93" s="63"/>
      <c r="E93" s="63"/>
      <c r="F93" s="63"/>
      <c r="G93" s="63"/>
      <c r="H93" s="63"/>
      <c r="I93" s="63"/>
      <c r="K93" s="1" t="s">
        <v>2553</v>
      </c>
      <c r="L93" s="1">
        <v>3.6</v>
      </c>
      <c r="M93" s="1">
        <v>0.2</v>
      </c>
      <c r="N93" s="1">
        <v>0.75</v>
      </c>
      <c r="O93" s="1">
        <v>8</v>
      </c>
    </row>
    <row r="94" spans="1:10" ht="13.5" customHeight="1">
      <c r="A94" s="1" t="s">
        <v>808</v>
      </c>
      <c r="B94" s="1" t="s">
        <v>809</v>
      </c>
      <c r="C94" s="1">
        <v>2.6</v>
      </c>
      <c r="D94" s="1">
        <v>0.2</v>
      </c>
      <c r="E94" s="1">
        <v>0.4</v>
      </c>
      <c r="F94" s="1">
        <v>4</v>
      </c>
      <c r="G94" s="1">
        <v>500</v>
      </c>
      <c r="H94" s="1">
        <v>1000</v>
      </c>
      <c r="I94" s="3">
        <f>G94*'Currency-Conversion'!$C$10</f>
        <v>1531939724.9999998</v>
      </c>
      <c r="J94" s="3">
        <f>H94*'Currency-Conversion'!$C$10</f>
        <v>3063879449.9999995</v>
      </c>
      <c r="K94" s="1" t="s">
        <v>2554</v>
      </c>
      <c r="L94" s="1">
        <v>3.2</v>
      </c>
      <c r="M94" s="1">
        <v>0.15</v>
      </c>
      <c r="N94" s="1">
        <v>0.5</v>
      </c>
      <c r="O94" s="1">
        <v>5</v>
      </c>
    </row>
    <row r="95" spans="1:10" ht="13.5" customHeight="1">
      <c r="A95" s="1" t="s">
        <v>810</v>
      </c>
      <c r="B95" s="1" t="s">
        <v>811</v>
      </c>
      <c r="C95" s="1">
        <v>2.8</v>
      </c>
      <c r="D95" s="1">
        <v>0.2</v>
      </c>
      <c r="E95" s="1">
        <v>0.45</v>
      </c>
      <c r="F95" s="1">
        <v>5</v>
      </c>
      <c r="G95" s="1">
        <v>500</v>
      </c>
      <c r="H95" s="1">
        <v>1000</v>
      </c>
      <c r="I95" s="3">
        <f>G95*'Currency-Conversion'!$C$10</f>
        <v>1531939724.9999998</v>
      </c>
      <c r="J95" s="3">
        <f>H95*'Currency-Conversion'!$C$10</f>
        <v>3063879449.9999995</v>
      </c>
      <c r="K95" s="1" t="s">
        <v>2555</v>
      </c>
      <c r="L95" s="1">
        <v>2.5</v>
      </c>
      <c r="M95" s="1">
        <v>0.25</v>
      </c>
      <c r="N95" s="1">
        <v>0.35</v>
      </c>
      <c r="O95" s="1">
        <v>4</v>
      </c>
    </row>
    <row r="96" spans="1:10" ht="13.5" customHeight="1">
      <c r="A96" s="1" t="s">
        <v>812</v>
      </c>
      <c r="B96" s="1" t="s">
        <v>813</v>
      </c>
      <c r="C96" s="1">
        <v>2.6</v>
      </c>
      <c r="D96" s="1">
        <v>0.2</v>
      </c>
      <c r="E96" s="1">
        <v>0.5</v>
      </c>
      <c r="F96" s="1">
        <v>5</v>
      </c>
      <c r="G96" s="1">
        <v>500</v>
      </c>
      <c r="H96" s="1">
        <v>1000</v>
      </c>
      <c r="I96" s="3">
        <f>G96*'Currency-Conversion'!$C$10</f>
        <v>1531939724.9999998</v>
      </c>
      <c r="J96" s="3">
        <f>H96*'Currency-Conversion'!$C$10</f>
        <v>3063879449.9999995</v>
      </c>
      <c r="K96" s="1" t="s">
        <v>2556</v>
      </c>
      <c r="L96" s="1">
        <v>3.3</v>
      </c>
      <c r="M96" s="1">
        <v>0.2</v>
      </c>
      <c r="N96" s="1">
        <v>0.6</v>
      </c>
      <c r="O96" s="1">
        <v>6</v>
      </c>
    </row>
    <row r="97" spans="1:10" ht="13.5" customHeight="1">
      <c r="A97" s="1" t="s">
        <v>814</v>
      </c>
      <c r="B97" s="1" t="s">
        <v>815</v>
      </c>
      <c r="C97" s="1">
        <v>3.1</v>
      </c>
      <c r="D97" s="1">
        <v>0.2</v>
      </c>
      <c r="E97" s="1">
        <v>0.55000000000000004</v>
      </c>
      <c r="F97" s="1">
        <v>6</v>
      </c>
      <c r="G97" s="1">
        <v>1000</v>
      </c>
      <c r="H97" s="1">
        <v>2000</v>
      </c>
      <c r="I97" s="3">
        <f>G97*'Currency-Conversion'!$C$10</f>
        <v>3063879449.9999995</v>
      </c>
      <c r="J97" s="3">
        <f>H97*'Currency-Conversion'!$C$10</f>
        <v>6127758899.999999</v>
      </c>
      <c r="K97" s="1" t="s">
        <v>2557</v>
      </c>
      <c r="L97" s="1">
        <v>2.9</v>
      </c>
      <c r="M97" s="1">
        <v>0.15</v>
      </c>
      <c r="N97" s="1">
        <v>0.5</v>
      </c>
      <c r="O97" s="1">
        <v>5</v>
      </c>
    </row>
    <row r="98" spans="1:10" ht="13.5" customHeight="1">
      <c r="A98" s="1" t="s">
        <v>816</v>
      </c>
      <c r="B98" s="1" t="s">
        <v>817</v>
      </c>
      <c r="C98" s="1">
        <v>4.25</v>
      </c>
      <c r="D98" s="1">
        <v>0.25</v>
      </c>
      <c r="E98" s="1">
        <v>1</v>
      </c>
      <c r="F98" s="1">
        <v>12</v>
      </c>
      <c r="G98" s="1">
        <v>2500</v>
      </c>
      <c r="H98" s="1">
        <v>5000</v>
      </c>
      <c r="I98" s="3">
        <f>G98*'Currency-Conversion'!$C$10</f>
        <v>7659698624.999999</v>
      </c>
      <c r="J98" s="3">
        <f>H98*'Currency-Conversion'!$C$10</f>
        <v>15319397249.999998</v>
      </c>
      <c r="K98" s="1" t="s">
        <v>2558</v>
      </c>
      <c r="L98" s="1">
        <v>2.2</v>
      </c>
      <c r="M98" s="1">
        <v>0.1</v>
      </c>
      <c r="N98" s="1">
        <v>0.4</v>
      </c>
      <c r="O98" s="1">
        <v>5</v>
      </c>
    </row>
    <row r="99" spans="1:10" ht="13.5" customHeight="1">
      <c r="A99" s="1" t="s">
        <v>816</v>
      </c>
      <c r="B99" s="1" t="s">
        <v>818</v>
      </c>
      <c r="C99" s="1">
        <v>3.8</v>
      </c>
      <c r="D99" s="1">
        <v>0.2</v>
      </c>
      <c r="E99" s="1">
        <v>0.75</v>
      </c>
      <c r="F99" s="1">
        <v>10</v>
      </c>
      <c r="G99" s="1">
        <v>1250</v>
      </c>
      <c r="H99" s="1">
        <v>2500</v>
      </c>
      <c r="I99" s="3">
        <f>G99*'Currency-Conversion'!$C$10</f>
        <v>3829849312.4999995</v>
      </c>
      <c r="J99" s="3">
        <f>H99*'Currency-Conversion'!$C$10</f>
        <v>7659698624.999999</v>
      </c>
      <c r="K99" s="1" t="s">
        <v>2559</v>
      </c>
      <c r="L99" s="1">
        <v>3.6</v>
      </c>
      <c r="M99" s="1">
        <v>0.2</v>
      </c>
      <c r="N99" s="1">
        <v>0.75</v>
      </c>
      <c r="O99" s="1">
        <v>8</v>
      </c>
    </row>
    <row r="100" spans="1:10" ht="13.5" customHeight="1">
      <c r="A100" s="1" t="s">
        <v>819</v>
      </c>
      <c r="B100" s="1" t="s">
        <v>820</v>
      </c>
      <c r="C100" s="1">
        <v>2.1</v>
      </c>
      <c r="D100" s="1">
        <v>0.25</v>
      </c>
      <c r="E100" s="1">
        <v>0.4</v>
      </c>
      <c r="F100" s="1">
        <v>3</v>
      </c>
      <c r="G100" s="1">
        <v>500</v>
      </c>
      <c r="H100" s="1">
        <v>1000</v>
      </c>
      <c r="I100" s="3">
        <f>G100*'Currency-Conversion'!$C$10</f>
        <v>1531939724.9999998</v>
      </c>
      <c r="J100" s="3">
        <f>H100*'Currency-Conversion'!$C$10</f>
        <v>3063879449.9999995</v>
      </c>
      <c r="K100" s="1" t="s">
        <v>2560</v>
      </c>
      <c r="L100" s="1">
        <v>3.2</v>
      </c>
      <c r="M100" s="1">
        <v>0.2</v>
      </c>
      <c r="N100" s="1">
        <v>0.5</v>
      </c>
      <c r="O100" s="1">
        <v>5</v>
      </c>
    </row>
    <row r="101" spans="1:10" ht="13.5" customHeight="1">
      <c r="A101" s="1" t="s">
        <v>821</v>
      </c>
      <c r="B101" s="1" t="s">
        <v>822</v>
      </c>
      <c r="C101" s="1">
        <v>2.9</v>
      </c>
      <c r="D101" s="1">
        <v>0.15</v>
      </c>
      <c r="E101" s="1">
        <v>0.5</v>
      </c>
      <c r="F101" s="1">
        <v>5</v>
      </c>
      <c r="G101" s="1">
        <v>500</v>
      </c>
      <c r="H101" s="1">
        <v>1000</v>
      </c>
      <c r="I101" s="3">
        <f>G101*'Currency-Conversion'!$C$10</f>
        <v>1531939724.9999998</v>
      </c>
      <c r="J101" s="3">
        <f>H101*'Currency-Conversion'!$C$10</f>
        <v>3063879449.9999995</v>
      </c>
      <c r="K101" s="1" t="s">
        <v>2561</v>
      </c>
      <c r="L101" s="1">
        <v>2.8</v>
      </c>
      <c r="M101" s="1">
        <v>0.1</v>
      </c>
      <c r="N101" s="1">
        <v>0.4</v>
      </c>
      <c r="O101" s="1">
        <v>4</v>
      </c>
    </row>
    <row r="102" spans="1:10" ht="13.5" customHeight="1">
      <c r="A102" s="1" t="s">
        <v>823</v>
      </c>
      <c r="B102" s="1" t="s">
        <v>824</v>
      </c>
      <c r="C102" s="1">
        <v>3.2</v>
      </c>
      <c r="D102" s="1">
        <v>0.15</v>
      </c>
      <c r="E102" s="1">
        <v>0.5</v>
      </c>
      <c r="F102" s="1">
        <v>5</v>
      </c>
      <c r="G102" s="1">
        <v>500</v>
      </c>
      <c r="H102" s="1">
        <v>1000</v>
      </c>
      <c r="I102" s="3">
        <f>G102*'Currency-Conversion'!$C$10</f>
        <v>1531939724.9999998</v>
      </c>
      <c r="J102" s="3">
        <f>H102*'Currency-Conversion'!$C$10</f>
        <v>3063879449.9999995</v>
      </c>
      <c r="K102" s="1" t="s">
        <v>2562</v>
      </c>
      <c r="L102" s="1">
        <v>2.5</v>
      </c>
      <c r="M102" s="1">
        <v>0.15</v>
      </c>
      <c r="N102" s="1">
        <v>0.4</v>
      </c>
      <c r="O102" s="1">
        <v>5</v>
      </c>
    </row>
    <row r="103" spans="1:10" ht="13.5" customHeight="1">
      <c r="A103" s="1" t="s">
        <v>825</v>
      </c>
      <c r="B103" s="1" t="s">
        <v>826</v>
      </c>
      <c r="C103" s="1">
        <v>3.4</v>
      </c>
      <c r="D103" s="1">
        <v>0.15</v>
      </c>
      <c r="E103" s="1">
        <v>0.75</v>
      </c>
      <c r="F103" s="1">
        <v>8</v>
      </c>
      <c r="G103" s="1">
        <v>1000</v>
      </c>
      <c r="H103" s="1">
        <v>2000</v>
      </c>
      <c r="I103" s="3">
        <f>G103*'Currency-Conversion'!$C$10</f>
        <v>3063879449.9999995</v>
      </c>
      <c r="J103" s="3">
        <f>H103*'Currency-Conversion'!$C$10</f>
        <v>6127758899.999999</v>
      </c>
      <c r="K103" s="1" t="s">
        <v>2563</v>
      </c>
      <c r="L103" s="1">
        <v>3.1</v>
      </c>
      <c r="M103" s="1">
        <v>0.1</v>
      </c>
      <c r="N103" s="1">
        <v>0.55</v>
      </c>
      <c r="O103" s="1">
        <v>6</v>
      </c>
    </row>
    <row r="104" spans="1:10" ht="13.5" customHeight="1">
      <c r="A104" s="1" t="s">
        <v>827</v>
      </c>
      <c r="B104" s="1" t="s">
        <v>828</v>
      </c>
      <c r="C104" s="1">
        <v>3.3</v>
      </c>
      <c r="D104" s="1">
        <v>0.2</v>
      </c>
      <c r="E104" s="1">
        <v>0.6</v>
      </c>
      <c r="F104" s="1">
        <v>6</v>
      </c>
      <c r="G104" s="1">
        <v>1000</v>
      </c>
      <c r="H104" s="1">
        <v>2000</v>
      </c>
      <c r="I104" s="3">
        <f>G104*'Currency-Conversion'!$C$10</f>
        <v>3063879449.9999995</v>
      </c>
      <c r="J104" s="3">
        <f>H104*'Currency-Conversion'!$C$10</f>
        <v>6127758899.999999</v>
      </c>
      <c r="K104" s="1" t="s">
        <v>2564</v>
      </c>
      <c r="L104" s="1">
        <v>2.2</v>
      </c>
      <c r="M104" s="1">
        <v>0.15</v>
      </c>
      <c r="N104" s="1">
        <v>0.4</v>
      </c>
      <c r="O104" s="1">
        <v>3.5</v>
      </c>
    </row>
    <row r="105" spans="1:10" ht="13.5" customHeight="1">
      <c r="A105" s="1" t="s">
        <v>829</v>
      </c>
      <c r="B105" s="1" t="s">
        <v>676</v>
      </c>
      <c r="C105" s="1">
        <v>2.5</v>
      </c>
      <c r="D105" s="1">
        <v>0.1</v>
      </c>
      <c r="E105" s="1">
        <v>0.4</v>
      </c>
      <c r="F105" s="1">
        <v>4</v>
      </c>
      <c r="G105" s="1">
        <v>500</v>
      </c>
      <c r="H105" s="1">
        <v>1000</v>
      </c>
      <c r="I105" s="3">
        <f>G105*'Currency-Conversion'!$C$10</f>
        <v>1531939724.9999998</v>
      </c>
      <c r="J105" s="3">
        <f>H105*'Currency-Conversion'!$C$10</f>
        <v>3063879449.9999995</v>
      </c>
      <c r="K105" s="1" t="s">
        <v>2565</v>
      </c>
      <c r="L105" s="1">
        <v>4.5</v>
      </c>
      <c r="M105" s="1">
        <v>0.2</v>
      </c>
      <c r="N105" s="1">
        <v>1</v>
      </c>
      <c r="O105" s="1">
        <v>15</v>
      </c>
    </row>
    <row r="106" spans="1:10" ht="13.5" customHeight="1">
      <c r="A106" s="41" t="s">
        <v>830</v>
      </c>
      <c r="B106" s="63" t="s">
        <v>831</v>
      </c>
      <c r="C106" s="63"/>
      <c r="D106" s="63"/>
      <c r="E106" s="63"/>
      <c r="F106" s="63"/>
      <c r="G106" s="63"/>
      <c r="H106" s="63"/>
      <c r="I106" s="63"/>
      <c r="K106" s="1" t="s">
        <v>2566</v>
      </c>
      <c r="L106" s="1">
        <v>3.5</v>
      </c>
      <c r="M106" s="1">
        <v>0.2</v>
      </c>
      <c r="N106" s="1">
        <v>0.6</v>
      </c>
      <c r="O106" s="1">
        <v>6</v>
      </c>
    </row>
    <row r="107" spans="1:10" ht="13.5" customHeight="1">
      <c r="A107" s="1" t="s">
        <v>832</v>
      </c>
      <c r="B107" s="1" t="s">
        <v>833</v>
      </c>
      <c r="C107" s="1">
        <v>2.4</v>
      </c>
      <c r="D107" s="1">
        <v>0.15</v>
      </c>
      <c r="E107" s="1">
        <v>0.3</v>
      </c>
      <c r="F107" s="1">
        <v>3</v>
      </c>
      <c r="G107" s="1">
        <v>500</v>
      </c>
      <c r="H107" s="1">
        <v>1000</v>
      </c>
      <c r="I107" s="3">
        <f>G107*'Currency-Conversion'!$C$10</f>
        <v>1531939724.9999998</v>
      </c>
      <c r="J107" s="3">
        <f>H107*'Currency-Conversion'!$C$10</f>
        <v>3063879449.9999995</v>
      </c>
      <c r="K107" s="1" t="s">
        <v>2567</v>
      </c>
      <c r="L107" s="1">
        <v>2.5</v>
      </c>
      <c r="M107" s="1">
        <v>0.2</v>
      </c>
      <c r="N107" s="1">
        <v>0.3</v>
      </c>
      <c r="O107" s="1">
        <v>6</v>
      </c>
    </row>
    <row r="108" spans="1:10" ht="13.5" customHeight="1">
      <c r="A108" s="1" t="s">
        <v>834</v>
      </c>
      <c r="B108" s="1" t="s">
        <v>835</v>
      </c>
      <c r="C108" s="1">
        <v>3.6</v>
      </c>
      <c r="D108" s="1">
        <v>0.2</v>
      </c>
      <c r="E108" s="1">
        <v>0.75</v>
      </c>
      <c r="F108" s="1">
        <v>8</v>
      </c>
      <c r="G108" s="1">
        <v>500</v>
      </c>
      <c r="H108" s="1">
        <v>1000</v>
      </c>
      <c r="I108" s="3">
        <f>G108*'Currency-Conversion'!$C$10</f>
        <v>1531939724.9999998</v>
      </c>
      <c r="J108" s="3">
        <f>H108*'Currency-Conversion'!$C$10</f>
        <v>3063879449.9999995</v>
      </c>
      <c r="K108" s="1" t="s">
        <v>2568</v>
      </c>
      <c r="L108" s="1">
        <v>2.8</v>
      </c>
      <c r="M108" s="1">
        <v>0.2</v>
      </c>
      <c r="N108" s="1">
        <v>0.5</v>
      </c>
      <c r="O108" s="1">
        <v>5</v>
      </c>
    </row>
    <row r="109" spans="1:10" ht="13.5" customHeight="1">
      <c r="A109" s="1" t="s">
        <v>836</v>
      </c>
      <c r="B109" s="1" t="s">
        <v>824</v>
      </c>
      <c r="C109" s="1">
        <v>3.2</v>
      </c>
      <c r="D109" s="1">
        <v>0.15</v>
      </c>
      <c r="E109" s="1">
        <v>0.5</v>
      </c>
      <c r="F109" s="1">
        <v>5</v>
      </c>
      <c r="G109" s="1">
        <v>500</v>
      </c>
      <c r="H109" s="1">
        <v>1000</v>
      </c>
      <c r="I109" s="3">
        <f>G109*'Currency-Conversion'!$C$10</f>
        <v>1531939724.9999998</v>
      </c>
      <c r="J109" s="3">
        <f>H109*'Currency-Conversion'!$C$10</f>
        <v>3063879449.9999995</v>
      </c>
      <c r="K109" s="1" t="s">
        <v>2569</v>
      </c>
      <c r="L109" s="1">
        <v>2.2</v>
      </c>
      <c r="M109" s="1">
        <v>0.15</v>
      </c>
      <c r="N109" s="1">
        <v>0.35</v>
      </c>
      <c r="O109" s="1">
        <v>3</v>
      </c>
    </row>
    <row r="110" spans="1:10" ht="13.5" customHeight="1">
      <c r="A110" s="1" t="s">
        <v>837</v>
      </c>
      <c r="B110" s="1" t="s">
        <v>838</v>
      </c>
      <c r="C110" s="1">
        <v>2.5</v>
      </c>
      <c r="D110" s="1">
        <v>0.25</v>
      </c>
      <c r="E110" s="1">
        <v>0.35</v>
      </c>
      <c r="F110" s="1">
        <v>4</v>
      </c>
      <c r="G110" s="1">
        <v>500</v>
      </c>
      <c r="H110" s="1">
        <v>1000</v>
      </c>
      <c r="I110" s="3">
        <f>G110*'Currency-Conversion'!$C$10</f>
        <v>1531939724.9999998</v>
      </c>
      <c r="J110" s="3">
        <f>H110*'Currency-Conversion'!$C$10</f>
        <v>3063879449.9999995</v>
      </c>
    </row>
    <row r="111" spans="1:10" ht="13.5" customHeight="1">
      <c r="A111" s="1" t="s">
        <v>839</v>
      </c>
      <c r="B111" s="1" t="s">
        <v>840</v>
      </c>
      <c r="C111" s="1">
        <v>3.3</v>
      </c>
      <c r="D111" s="1">
        <v>0.2</v>
      </c>
      <c r="E111" s="1">
        <v>0.6</v>
      </c>
      <c r="F111" s="1">
        <v>6</v>
      </c>
      <c r="G111" s="1">
        <v>500</v>
      </c>
      <c r="H111" s="1">
        <v>1000</v>
      </c>
      <c r="I111" s="3">
        <f>G111*'Currency-Conversion'!$C$10</f>
        <v>1531939724.9999998</v>
      </c>
      <c r="J111" s="3">
        <f>H111*'Currency-Conversion'!$C$10</f>
        <v>3063879449.9999995</v>
      </c>
    </row>
    <row r="112" spans="1:10" ht="13.5" customHeight="1">
      <c r="A112" s="1" t="s">
        <v>841</v>
      </c>
      <c r="B112" s="1" t="s">
        <v>822</v>
      </c>
      <c r="C112" s="1">
        <v>2.9</v>
      </c>
      <c r="D112" s="1">
        <v>0.15</v>
      </c>
      <c r="E112" s="1">
        <v>0.5</v>
      </c>
      <c r="F112" s="1">
        <v>5</v>
      </c>
      <c r="G112" s="1">
        <v>500</v>
      </c>
      <c r="H112" s="1">
        <v>1000</v>
      </c>
      <c r="I112" s="3">
        <f>G112*'Currency-Conversion'!$C$10</f>
        <v>1531939724.9999998</v>
      </c>
      <c r="J112" s="3">
        <f>H112*'Currency-Conversion'!$C$10</f>
        <v>3063879449.9999995</v>
      </c>
    </row>
    <row r="113" spans="1:10" ht="13.5" customHeight="1">
      <c r="A113" s="1" t="s">
        <v>842</v>
      </c>
      <c r="B113" s="1" t="s">
        <v>676</v>
      </c>
      <c r="C113" s="1">
        <v>2.2000000000000002</v>
      </c>
      <c r="D113" s="1">
        <v>0.1</v>
      </c>
      <c r="E113" s="1">
        <v>0.4</v>
      </c>
      <c r="F113" s="1">
        <v>5</v>
      </c>
      <c r="G113" s="1">
        <v>500</v>
      </c>
      <c r="H113" s="1">
        <v>1000</v>
      </c>
      <c r="I113" s="3">
        <f>G113*'Currency-Conversion'!$C$10</f>
        <v>1531939724.9999998</v>
      </c>
      <c r="J113" s="3">
        <f>H113*'Currency-Conversion'!$C$10</f>
        <v>3063879449.9999995</v>
      </c>
    </row>
    <row r="114" spans="1:10" ht="13.5" customHeight="1">
      <c r="A114" s="41" t="s">
        <v>843</v>
      </c>
      <c r="B114" s="63" t="s">
        <v>844</v>
      </c>
      <c r="C114" s="63"/>
      <c r="D114" s="63"/>
      <c r="E114" s="63"/>
      <c r="F114" s="63"/>
      <c r="G114" s="63"/>
      <c r="H114" s="63"/>
      <c r="I114" s="63"/>
    </row>
    <row r="115" spans="1:10" ht="13.5" customHeight="1">
      <c r="A115" s="1" t="s">
        <v>845</v>
      </c>
      <c r="B115" s="1" t="s">
        <v>835</v>
      </c>
      <c r="C115" s="1">
        <v>3.6</v>
      </c>
      <c r="D115" s="1">
        <v>0.2</v>
      </c>
      <c r="E115" s="1">
        <v>0.75</v>
      </c>
      <c r="F115" s="1">
        <v>8</v>
      </c>
      <c r="G115" s="1">
        <v>1000</v>
      </c>
      <c r="H115" s="1">
        <v>2000</v>
      </c>
      <c r="I115" s="3">
        <f>G115*'Currency-Conversion'!$C$10</f>
        <v>3063879449.9999995</v>
      </c>
      <c r="J115" s="3">
        <f>H115*'Currency-Conversion'!$C$10</f>
        <v>6127758899.999999</v>
      </c>
    </row>
    <row r="116" spans="1:10" ht="13.5" customHeight="1">
      <c r="A116" s="1" t="s">
        <v>846</v>
      </c>
      <c r="B116" s="1" t="s">
        <v>847</v>
      </c>
      <c r="C116" s="1">
        <v>3.2</v>
      </c>
      <c r="D116" s="1">
        <v>0.2</v>
      </c>
      <c r="E116" s="1">
        <v>0.5</v>
      </c>
      <c r="F116" s="1">
        <v>5</v>
      </c>
      <c r="G116" s="1">
        <v>500</v>
      </c>
      <c r="H116" s="1">
        <v>1000</v>
      </c>
      <c r="I116" s="3">
        <f>G116*'Currency-Conversion'!$C$10</f>
        <v>1531939724.9999998</v>
      </c>
      <c r="J116" s="3">
        <f>H116*'Currency-Conversion'!$C$10</f>
        <v>3063879449.9999995</v>
      </c>
    </row>
    <row r="117" spans="1:10" ht="13.5" customHeight="1">
      <c r="A117" s="1" t="s">
        <v>848</v>
      </c>
      <c r="B117" s="1" t="s">
        <v>849</v>
      </c>
      <c r="C117" s="1">
        <v>2.8</v>
      </c>
      <c r="D117" s="1">
        <v>0.1</v>
      </c>
      <c r="E117" s="1">
        <v>0.4</v>
      </c>
      <c r="F117" s="1">
        <v>4</v>
      </c>
      <c r="G117" s="1">
        <v>500</v>
      </c>
      <c r="H117" s="1">
        <v>1000</v>
      </c>
      <c r="I117" s="3">
        <f>G117*'Currency-Conversion'!$C$10</f>
        <v>1531939724.9999998</v>
      </c>
      <c r="J117" s="3">
        <f>H117*'Currency-Conversion'!$C$10</f>
        <v>3063879449.9999995</v>
      </c>
    </row>
    <row r="118" spans="1:10" ht="13.5" customHeight="1">
      <c r="A118" s="1" t="s">
        <v>850</v>
      </c>
      <c r="B118" s="1" t="s">
        <v>851</v>
      </c>
      <c r="C118" s="1">
        <v>2.5</v>
      </c>
      <c r="D118" s="1">
        <v>0.15</v>
      </c>
      <c r="E118" s="1">
        <v>0.4</v>
      </c>
      <c r="F118" s="1">
        <v>5</v>
      </c>
      <c r="G118" s="1">
        <v>500</v>
      </c>
      <c r="H118" s="1">
        <v>1000</v>
      </c>
      <c r="I118" s="3">
        <f>G118*'Currency-Conversion'!$C$10</f>
        <v>1531939724.9999998</v>
      </c>
      <c r="J118" s="3">
        <f>H118*'Currency-Conversion'!$C$10</f>
        <v>3063879449.9999995</v>
      </c>
    </row>
    <row r="119" spans="1:10" ht="13.5" customHeight="1">
      <c r="A119" s="1" t="s">
        <v>852</v>
      </c>
      <c r="B119" s="1" t="s">
        <v>853</v>
      </c>
      <c r="C119" s="1">
        <v>3.1</v>
      </c>
      <c r="D119" s="1">
        <v>0.1</v>
      </c>
      <c r="E119" s="1">
        <v>0.55000000000000004</v>
      </c>
      <c r="F119" s="1">
        <v>6</v>
      </c>
      <c r="G119" s="1">
        <v>1000</v>
      </c>
      <c r="H119" s="1">
        <v>2000</v>
      </c>
      <c r="I119" s="3">
        <f>G119*'Currency-Conversion'!$C$10</f>
        <v>3063879449.9999995</v>
      </c>
      <c r="J119" s="3">
        <f>H119*'Currency-Conversion'!$C$10</f>
        <v>6127758899.999999</v>
      </c>
    </row>
    <row r="120" spans="1:10" ht="13.5" customHeight="1">
      <c r="A120" s="1" t="s">
        <v>854</v>
      </c>
      <c r="B120" s="1" t="s">
        <v>676</v>
      </c>
      <c r="C120" s="1">
        <v>2.2000000000000002</v>
      </c>
      <c r="D120" s="1">
        <v>0.15</v>
      </c>
      <c r="E120" s="1">
        <v>0.4</v>
      </c>
      <c r="F120" s="1">
        <v>3.5</v>
      </c>
      <c r="G120" s="1">
        <v>500</v>
      </c>
      <c r="H120" s="1">
        <v>1000</v>
      </c>
      <c r="I120" s="3">
        <f>G120*'Currency-Conversion'!$C$10</f>
        <v>1531939724.9999998</v>
      </c>
      <c r="J120" s="3">
        <f>H120*'Currency-Conversion'!$C$10</f>
        <v>3063879449.9999995</v>
      </c>
    </row>
    <row r="121" spans="1:10" ht="13.5" customHeight="1">
      <c r="A121" s="41" t="s">
        <v>855</v>
      </c>
      <c r="B121" s="63" t="s">
        <v>856</v>
      </c>
      <c r="C121" s="63"/>
      <c r="D121" s="63"/>
      <c r="E121" s="63"/>
      <c r="F121" s="63"/>
      <c r="G121" s="63"/>
      <c r="H121" s="63"/>
      <c r="I121" s="63"/>
    </row>
    <row r="122" spans="1:10" ht="13.5" customHeight="1">
      <c r="A122" s="41" t="s">
        <v>857</v>
      </c>
      <c r="B122" s="63" t="s">
        <v>858</v>
      </c>
      <c r="C122" s="63"/>
      <c r="D122" s="63"/>
      <c r="E122" s="63"/>
      <c r="F122" s="63"/>
      <c r="G122" s="63"/>
      <c r="H122" s="63"/>
      <c r="I122" s="63"/>
    </row>
    <row r="123" spans="1:10" ht="13.5" customHeight="1">
      <c r="A123" s="41" t="s">
        <v>859</v>
      </c>
      <c r="B123" s="63" t="s">
        <v>860</v>
      </c>
      <c r="C123" s="63"/>
      <c r="D123" s="63"/>
      <c r="E123" s="63"/>
      <c r="F123" s="63"/>
      <c r="G123" s="63"/>
      <c r="H123" s="63"/>
      <c r="I123" s="63"/>
    </row>
    <row r="124" spans="1:10" ht="13.5" customHeight="1">
      <c r="A124" s="1" t="s">
        <v>861</v>
      </c>
      <c r="B124" s="1" t="s">
        <v>862</v>
      </c>
      <c r="C124" s="1">
        <v>4.5</v>
      </c>
      <c r="D124" s="1">
        <v>0.2</v>
      </c>
      <c r="E124" s="1">
        <v>1</v>
      </c>
      <c r="F124" s="1">
        <v>15</v>
      </c>
      <c r="G124" s="1">
        <v>500</v>
      </c>
      <c r="H124" s="1">
        <v>1000</v>
      </c>
      <c r="I124" s="3">
        <f>G124*'Currency-Conversion'!$C$10</f>
        <v>1531939724.9999998</v>
      </c>
      <c r="J124" s="3">
        <f>H124*'Currency-Conversion'!$C$10</f>
        <v>3063879449.9999995</v>
      </c>
    </row>
    <row r="125" spans="1:10" ht="13.5" customHeight="1">
      <c r="A125" s="1" t="s">
        <v>861</v>
      </c>
      <c r="B125" s="1" t="s">
        <v>863</v>
      </c>
      <c r="C125" s="1">
        <v>3.5</v>
      </c>
      <c r="D125" s="1">
        <v>0.2</v>
      </c>
      <c r="E125" s="1">
        <v>0.6</v>
      </c>
      <c r="F125" s="1">
        <v>6</v>
      </c>
      <c r="G125" s="1">
        <v>500</v>
      </c>
      <c r="H125" s="1">
        <v>1000</v>
      </c>
      <c r="I125" s="3">
        <f>G125*'Currency-Conversion'!$C$10</f>
        <v>1531939724.9999998</v>
      </c>
      <c r="J125" s="3">
        <f>H125*'Currency-Conversion'!$C$10</f>
        <v>3063879449.9999995</v>
      </c>
    </row>
    <row r="126" spans="1:10" ht="13.5" customHeight="1">
      <c r="A126" s="1" t="s">
        <v>864</v>
      </c>
      <c r="B126" s="1" t="s">
        <v>865</v>
      </c>
      <c r="C126" s="1">
        <v>2.5</v>
      </c>
      <c r="D126" s="1">
        <v>0.2</v>
      </c>
      <c r="E126" s="1">
        <v>0.3</v>
      </c>
      <c r="F126" s="1">
        <v>6</v>
      </c>
      <c r="G126" s="1">
        <v>500</v>
      </c>
      <c r="H126" s="1">
        <v>1000</v>
      </c>
      <c r="I126" s="3">
        <f>G126*'Currency-Conversion'!$C$10</f>
        <v>1531939724.9999998</v>
      </c>
      <c r="J126" s="3">
        <f>H126*'Currency-Conversion'!$C$10</f>
        <v>3063879449.9999995</v>
      </c>
    </row>
    <row r="127" spans="1:10" ht="13.5" customHeight="1">
      <c r="A127" s="1" t="s">
        <v>866</v>
      </c>
      <c r="B127" s="1" t="s">
        <v>867</v>
      </c>
      <c r="C127" s="1">
        <v>2.8</v>
      </c>
      <c r="D127" s="1">
        <v>0.2</v>
      </c>
      <c r="E127" s="1">
        <v>0.5</v>
      </c>
      <c r="F127" s="1">
        <v>5</v>
      </c>
      <c r="G127" s="1">
        <v>500</v>
      </c>
      <c r="H127" s="1">
        <v>1000</v>
      </c>
      <c r="I127" s="3">
        <f>G127*'Currency-Conversion'!$C$10</f>
        <v>1531939724.9999998</v>
      </c>
      <c r="J127" s="3">
        <f>H127*'Currency-Conversion'!$C$10</f>
        <v>3063879449.9999995</v>
      </c>
    </row>
    <row r="128" spans="1:10" ht="13.5" customHeight="1">
      <c r="A128" s="1" t="s">
        <v>868</v>
      </c>
      <c r="B128" s="1" t="s">
        <v>676</v>
      </c>
      <c r="C128" s="1">
        <v>2.2000000000000002</v>
      </c>
      <c r="D128" s="1">
        <v>0.15</v>
      </c>
      <c r="E128" s="1">
        <v>0.35</v>
      </c>
      <c r="F128" s="1">
        <v>3</v>
      </c>
      <c r="G128" s="1">
        <v>500</v>
      </c>
      <c r="H128" s="1">
        <v>1000</v>
      </c>
      <c r="I128" s="3">
        <f>G128*'Currency-Conversion'!$C$10</f>
        <v>1531939724.9999998</v>
      </c>
      <c r="J128" s="3">
        <f>H128*'Currency-Conversion'!$C$10</f>
        <v>3063879449.9999995</v>
      </c>
    </row>
    <row r="129" spans="1:9" ht="13.5" customHeight="1">
      <c r="A129" s="41" t="s">
        <v>869</v>
      </c>
      <c r="B129" s="63" t="s">
        <v>870</v>
      </c>
      <c r="C129" s="63"/>
      <c r="D129" s="63"/>
      <c r="E129" s="63"/>
      <c r="F129" s="63"/>
      <c r="G129" s="63"/>
      <c r="H129" s="63"/>
      <c r="I129" s="63"/>
    </row>
  </sheetData>
  <autoFilter ref="A2:I87" xr:uid="{00000000-0009-0000-0000-000005000000}"/>
  <mergeCells count="19">
    <mergeCell ref="B121:I121"/>
    <mergeCell ref="B122:I122"/>
    <mergeCell ref="B123:I123"/>
    <mergeCell ref="B129:I129"/>
    <mergeCell ref="B80:I80"/>
    <mergeCell ref="B87:I87"/>
    <mergeCell ref="B93:I93"/>
    <mergeCell ref="B106:I106"/>
    <mergeCell ref="B114:I114"/>
    <mergeCell ref="B49:I49"/>
    <mergeCell ref="B60:I60"/>
    <mergeCell ref="B65:I65"/>
    <mergeCell ref="B71:I71"/>
    <mergeCell ref="B78:I78"/>
    <mergeCell ref="B3:I3"/>
    <mergeCell ref="B4:I4"/>
    <mergeCell ref="B23:I23"/>
    <mergeCell ref="B31:I31"/>
    <mergeCell ref="B39:I39"/>
  </mergeCells>
  <pageMargins left="0.75" right="0.75" top="1" bottom="1" header="0.511811023622047" footer="0.511811023622047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K33"/>
  <sheetViews>
    <sheetView showGridLines="0" zoomScaleNormal="100" workbookViewId="0">
      <pane ySplit="2" topLeftCell="A7" activePane="bottomLeft" state="frozen"/>
      <selection pane="bottomLeft" activeCell="B36" sqref="B36"/>
    </sheetView>
  </sheetViews>
  <sheetFormatPr baseColWidth="10" defaultColWidth="8.5" defaultRowHeight="14"/>
  <cols>
    <col min="1" max="1" width="28.5" customWidth="1"/>
    <col min="2" max="2" width="56.6640625" customWidth="1"/>
    <col min="3" max="4" width="11.5" customWidth="1"/>
    <col min="5" max="5" width="11.6640625" customWidth="1"/>
    <col min="6" max="6" width="8.6640625" customWidth="1"/>
    <col min="7" max="7" width="8.83203125" customWidth="1"/>
    <col min="8" max="8" width="8.6640625" customWidth="1"/>
    <col min="9" max="11" width="15" customWidth="1"/>
  </cols>
  <sheetData>
    <row r="1" spans="1:11" ht="13.5" customHeight="1">
      <c r="A1" s="64" t="s">
        <v>871</v>
      </c>
      <c r="B1" s="64"/>
      <c r="C1" s="64"/>
      <c r="D1" s="64"/>
      <c r="E1" s="64"/>
      <c r="F1" s="64"/>
      <c r="G1" s="64"/>
      <c r="H1" s="64"/>
      <c r="I1" s="64"/>
    </row>
    <row r="2" spans="1:11" ht="13.5" customHeight="1">
      <c r="A2" s="65" t="s">
        <v>872</v>
      </c>
      <c r="B2" s="65"/>
      <c r="C2" s="65"/>
      <c r="D2" s="65"/>
      <c r="E2" s="65"/>
      <c r="F2" s="65"/>
      <c r="G2" s="65"/>
      <c r="H2" s="65"/>
      <c r="I2" s="65"/>
    </row>
    <row r="3" spans="1:11" ht="39" customHeight="1">
      <c r="A3" s="24" t="s">
        <v>873</v>
      </c>
      <c r="B3" s="24" t="s">
        <v>874</v>
      </c>
      <c r="C3" s="24" t="s">
        <v>875</v>
      </c>
      <c r="D3" s="24" t="s">
        <v>876</v>
      </c>
      <c r="E3" s="24" t="s">
        <v>877</v>
      </c>
      <c r="F3" s="24" t="s">
        <v>878</v>
      </c>
      <c r="G3" s="24" t="s">
        <v>879</v>
      </c>
      <c r="H3" s="24" t="s">
        <v>880</v>
      </c>
      <c r="I3" s="33" t="s">
        <v>881</v>
      </c>
      <c r="J3" s="42" t="s">
        <v>882</v>
      </c>
      <c r="K3" s="42" t="s">
        <v>883</v>
      </c>
    </row>
    <row r="4" spans="1:11" ht="27.75" customHeight="1">
      <c r="A4" s="37" t="s">
        <v>884</v>
      </c>
      <c r="B4" s="37" t="s">
        <v>885</v>
      </c>
      <c r="C4" s="37">
        <v>0.2</v>
      </c>
      <c r="D4" s="37">
        <v>0.3</v>
      </c>
      <c r="E4" s="37">
        <v>0.4</v>
      </c>
      <c r="F4" s="37">
        <v>500</v>
      </c>
      <c r="G4" s="37">
        <v>800</v>
      </c>
      <c r="H4" s="37">
        <v>1500</v>
      </c>
      <c r="I4" s="37">
        <f>F4*'Currency-Conversion'!$C$10</f>
        <v>1531939724.9999998</v>
      </c>
      <c r="J4" s="3">
        <f>G4*'Currency-Conversion'!$C$10</f>
        <v>2451103560</v>
      </c>
      <c r="K4" s="3">
        <f>H4*'Currency-Conversion'!$C$10</f>
        <v>4595819175</v>
      </c>
    </row>
    <row r="5" spans="1:11" ht="24.75" customHeight="1">
      <c r="A5" s="37" t="s">
        <v>886</v>
      </c>
      <c r="B5" s="37" t="s">
        <v>887</v>
      </c>
      <c r="C5" s="37">
        <v>0.3</v>
      </c>
      <c r="D5" s="37">
        <v>0.45</v>
      </c>
      <c r="E5" s="37">
        <v>0.6</v>
      </c>
      <c r="F5" s="37">
        <v>1300</v>
      </c>
      <c r="G5" s="37">
        <v>1800</v>
      </c>
      <c r="H5" s="37">
        <v>2500</v>
      </c>
      <c r="I5" s="37">
        <f>F5*'Currency-Conversion'!$C$10</f>
        <v>3983043284.9999995</v>
      </c>
      <c r="J5" s="3">
        <f>G5*'Currency-Conversion'!$C$10</f>
        <v>5514983009.999999</v>
      </c>
      <c r="K5" s="3">
        <f>H5*'Currency-Conversion'!$C$10</f>
        <v>7659698624.999999</v>
      </c>
    </row>
    <row r="6" spans="1:11" ht="24.75" customHeight="1">
      <c r="A6" s="37" t="s">
        <v>33</v>
      </c>
      <c r="B6" s="37" t="s">
        <v>888</v>
      </c>
      <c r="C6" s="37">
        <v>0.4</v>
      </c>
      <c r="D6" s="37">
        <v>0.6</v>
      </c>
      <c r="E6" s="37">
        <v>0.8</v>
      </c>
      <c r="F6" s="37">
        <v>2300</v>
      </c>
      <c r="G6" s="37">
        <v>2900</v>
      </c>
      <c r="H6" s="37">
        <v>4000</v>
      </c>
      <c r="I6" s="37">
        <f>F6*'Currency-Conversion'!$C$10</f>
        <v>7046922734.999999</v>
      </c>
      <c r="J6" s="3">
        <f>G6*'Currency-Conversion'!$C$10</f>
        <v>8885250405</v>
      </c>
      <c r="K6" s="3">
        <f>H6*'Currency-Conversion'!$C$10</f>
        <v>12255517799.999998</v>
      </c>
    </row>
    <row r="7" spans="1:11" ht="13.5" customHeight="1">
      <c r="A7" s="65" t="s">
        <v>889</v>
      </c>
      <c r="B7" s="65"/>
      <c r="C7" s="65"/>
      <c r="D7" s="65"/>
      <c r="E7" s="65"/>
      <c r="F7" s="65"/>
      <c r="G7" s="65"/>
      <c r="H7" s="65"/>
      <c r="I7" s="65"/>
    </row>
    <row r="8" spans="1:11" ht="25.5" customHeight="1">
      <c r="A8" s="24" t="s">
        <v>890</v>
      </c>
      <c r="B8" s="24" t="s">
        <v>891</v>
      </c>
      <c r="C8" s="24"/>
      <c r="D8" s="24"/>
      <c r="E8" s="24"/>
      <c r="F8" s="24"/>
      <c r="G8" s="24"/>
      <c r="H8" s="24"/>
      <c r="I8" s="24" t="s">
        <v>236</v>
      </c>
    </row>
    <row r="9" spans="1:11" ht="13.5" customHeight="1">
      <c r="A9" s="43" t="s">
        <v>892</v>
      </c>
      <c r="B9" s="43">
        <v>0.65</v>
      </c>
      <c r="C9" s="44"/>
      <c r="D9" s="44"/>
      <c r="E9" s="44"/>
      <c r="F9" s="44"/>
      <c r="G9" s="44"/>
      <c r="H9" s="44"/>
      <c r="I9" s="44"/>
    </row>
    <row r="10" spans="1:11" ht="13.5" customHeight="1">
      <c r="A10" s="43" t="s">
        <v>893</v>
      </c>
      <c r="B10" s="43">
        <v>0.8</v>
      </c>
      <c r="C10" s="44"/>
      <c r="D10" s="44"/>
      <c r="E10" s="44"/>
      <c r="F10" s="44"/>
      <c r="G10" s="44"/>
      <c r="H10" s="44"/>
      <c r="I10" s="44"/>
    </row>
    <row r="11" spans="1:11" ht="13.5" customHeight="1">
      <c r="A11" s="45" t="s">
        <v>894</v>
      </c>
      <c r="B11" s="45">
        <v>1</v>
      </c>
      <c r="C11" s="44"/>
      <c r="D11" s="44"/>
      <c r="E11" s="44"/>
      <c r="F11" s="44"/>
      <c r="G11" s="44"/>
      <c r="H11" s="44"/>
      <c r="I11" s="44"/>
    </row>
    <row r="12" spans="1:11" ht="13.5" customHeight="1">
      <c r="A12" s="43" t="s">
        <v>895</v>
      </c>
      <c r="B12" s="43">
        <v>1.2</v>
      </c>
      <c r="C12" s="44"/>
      <c r="D12" s="44"/>
      <c r="E12" s="44"/>
      <c r="F12" s="44"/>
      <c r="G12" s="44"/>
      <c r="H12" s="44"/>
      <c r="I12" s="44"/>
    </row>
    <row r="13" spans="1:11" ht="13.5" customHeight="1">
      <c r="A13" s="43" t="s">
        <v>896</v>
      </c>
      <c r="B13" s="43">
        <v>1.4</v>
      </c>
      <c r="C13" s="44"/>
      <c r="D13" s="44"/>
      <c r="E13" s="44"/>
      <c r="F13" s="44"/>
      <c r="G13" s="44"/>
      <c r="H13" s="44"/>
      <c r="I13" s="44"/>
    </row>
    <row r="14" spans="1:11" ht="13.5" customHeight="1">
      <c r="A14" s="43" t="s">
        <v>897</v>
      </c>
      <c r="B14" s="43">
        <v>1.56</v>
      </c>
      <c r="C14" s="44"/>
      <c r="D14" s="44"/>
      <c r="E14" s="44"/>
      <c r="F14" s="44"/>
      <c r="G14" s="44"/>
      <c r="H14" s="44"/>
      <c r="I14" s="44"/>
    </row>
    <row r="15" spans="1:11" ht="13.5" customHeight="1">
      <c r="A15" s="43" t="s">
        <v>898</v>
      </c>
      <c r="B15" s="43">
        <v>1.67</v>
      </c>
      <c r="C15" s="44"/>
      <c r="D15" s="44"/>
      <c r="E15" s="44"/>
      <c r="F15" s="44"/>
      <c r="G15" s="44"/>
      <c r="H15" s="44"/>
      <c r="I15" s="44"/>
    </row>
    <row r="16" spans="1:11" ht="13.5" customHeight="1">
      <c r="A16" s="65" t="s">
        <v>899</v>
      </c>
      <c r="B16" s="65"/>
      <c r="C16" s="65"/>
      <c r="D16" s="65"/>
      <c r="E16" s="65"/>
      <c r="F16" s="65"/>
      <c r="G16" s="65"/>
      <c r="H16" s="65"/>
      <c r="I16" s="65"/>
    </row>
    <row r="17" spans="1:9" ht="39" customHeight="1">
      <c r="A17" s="24" t="s">
        <v>900</v>
      </c>
      <c r="B17" s="24" t="s">
        <v>901</v>
      </c>
      <c r="C17" s="24"/>
      <c r="D17" s="24"/>
      <c r="E17" s="24"/>
      <c r="F17" s="24"/>
      <c r="G17" s="24"/>
      <c r="H17" s="24"/>
      <c r="I17" s="24" t="s">
        <v>236</v>
      </c>
    </row>
    <row r="18" spans="1:9" ht="13.5" customHeight="1">
      <c r="A18" s="43" t="s">
        <v>902</v>
      </c>
      <c r="B18" s="43" t="s">
        <v>903</v>
      </c>
      <c r="C18" s="44"/>
      <c r="D18" s="44"/>
      <c r="E18" s="44"/>
      <c r="F18" s="44"/>
      <c r="G18" s="44"/>
      <c r="H18" s="44"/>
      <c r="I18" s="44"/>
    </row>
    <row r="19" spans="1:9" ht="13.5" customHeight="1">
      <c r="A19" s="43" t="s">
        <v>904</v>
      </c>
      <c r="B19" s="43" t="s">
        <v>905</v>
      </c>
      <c r="C19" s="44"/>
      <c r="D19" s="44"/>
      <c r="E19" s="44"/>
      <c r="F19" s="44"/>
      <c r="G19" s="44"/>
      <c r="H19" s="44"/>
      <c r="I19" s="44"/>
    </row>
    <row r="20" spans="1:9" ht="13.5" customHeight="1">
      <c r="A20" s="43" t="s">
        <v>906</v>
      </c>
      <c r="B20" s="43" t="s">
        <v>907</v>
      </c>
      <c r="C20" s="44"/>
      <c r="D20" s="44"/>
      <c r="E20" s="44"/>
      <c r="F20" s="44"/>
      <c r="G20" s="44"/>
      <c r="H20" s="44"/>
      <c r="I20" s="44"/>
    </row>
    <row r="21" spans="1:9" ht="13.5" customHeight="1">
      <c r="A21" s="43" t="s">
        <v>908</v>
      </c>
      <c r="B21" s="43" t="s">
        <v>909</v>
      </c>
      <c r="C21" s="44"/>
      <c r="D21" s="44"/>
      <c r="E21" s="44"/>
      <c r="F21" s="44"/>
      <c r="G21" s="44"/>
      <c r="H21" s="44"/>
      <c r="I21" s="44"/>
    </row>
    <row r="22" spans="1:9" ht="13.5" customHeight="1">
      <c r="A22" s="65" t="s">
        <v>910</v>
      </c>
      <c r="B22" s="65"/>
      <c r="C22" s="65"/>
      <c r="D22" s="65"/>
      <c r="E22" s="65"/>
      <c r="F22" s="65"/>
      <c r="G22" s="65"/>
      <c r="H22" s="65"/>
      <c r="I22" s="65"/>
    </row>
    <row r="23" spans="1:9" ht="13.5" customHeight="1">
      <c r="A23" s="24" t="s">
        <v>911</v>
      </c>
      <c r="B23" s="24" t="s">
        <v>912</v>
      </c>
      <c r="C23" s="24"/>
      <c r="D23" s="24"/>
      <c r="E23" s="24"/>
      <c r="F23" s="24"/>
      <c r="G23" s="24"/>
      <c r="H23" s="24"/>
      <c r="I23" s="24" t="s">
        <v>236</v>
      </c>
    </row>
    <row r="24" spans="1:9" ht="13.5" customHeight="1">
      <c r="A24" s="43" t="s">
        <v>913</v>
      </c>
      <c r="B24" s="43" t="s">
        <v>914</v>
      </c>
      <c r="C24" s="44"/>
      <c r="D24" s="44"/>
      <c r="E24" s="44"/>
      <c r="F24" s="44"/>
      <c r="G24" s="44"/>
      <c r="H24" s="44"/>
      <c r="I24" s="44"/>
    </row>
    <row r="25" spans="1:9" ht="13.5" customHeight="1">
      <c r="A25" s="43" t="s">
        <v>915</v>
      </c>
      <c r="B25" s="43" t="s">
        <v>916</v>
      </c>
      <c r="C25" s="44"/>
      <c r="D25" s="44"/>
      <c r="E25" s="44"/>
      <c r="F25" s="44"/>
      <c r="G25" s="44"/>
      <c r="H25" s="44"/>
      <c r="I25" s="44"/>
    </row>
    <row r="26" spans="1:9" ht="13.5" customHeight="1">
      <c r="A26" s="65" t="s">
        <v>917</v>
      </c>
      <c r="B26" s="65"/>
      <c r="C26" s="65"/>
      <c r="D26" s="65"/>
      <c r="E26" s="65"/>
      <c r="F26" s="65"/>
      <c r="G26" s="65"/>
      <c r="H26" s="65"/>
      <c r="I26" s="65"/>
    </row>
    <row r="27" spans="1:9" ht="13.5" customHeight="1">
      <c r="A27" s="66" t="s">
        <v>918</v>
      </c>
      <c r="B27" s="66"/>
      <c r="C27" s="66"/>
      <c r="D27" s="66"/>
      <c r="E27" s="66"/>
      <c r="F27" s="66"/>
      <c r="G27" s="66"/>
      <c r="H27" s="66"/>
      <c r="I27" s="66"/>
    </row>
    <row r="28" spans="1:9" ht="13.5" customHeight="1">
      <c r="A28" s="65" t="s">
        <v>919</v>
      </c>
      <c r="B28" s="65"/>
      <c r="C28" s="65"/>
      <c r="D28" s="65"/>
      <c r="E28" s="65"/>
      <c r="F28" s="65"/>
      <c r="G28" s="65"/>
      <c r="H28" s="65"/>
      <c r="I28" s="65"/>
    </row>
    <row r="29" spans="1:9" ht="13.5" customHeight="1">
      <c r="A29" s="24" t="s">
        <v>920</v>
      </c>
      <c r="B29" s="24" t="s">
        <v>921</v>
      </c>
      <c r="C29" s="24"/>
      <c r="D29" s="24"/>
      <c r="E29" s="24"/>
      <c r="F29" s="24"/>
      <c r="G29" s="24"/>
      <c r="H29" s="24"/>
      <c r="I29" s="24" t="s">
        <v>236</v>
      </c>
    </row>
    <row r="30" spans="1:9" ht="13.5" customHeight="1">
      <c r="A30" s="43" t="s">
        <v>922</v>
      </c>
      <c r="B30" s="43" t="s">
        <v>923</v>
      </c>
      <c r="C30" s="44"/>
      <c r="D30" s="44"/>
      <c r="E30" s="44"/>
      <c r="F30" s="44"/>
      <c r="G30" s="44"/>
      <c r="H30" s="44"/>
      <c r="I30" s="44"/>
    </row>
    <row r="31" spans="1:9" ht="13.5" customHeight="1">
      <c r="A31" s="43" t="s">
        <v>924</v>
      </c>
      <c r="B31" s="43" t="s">
        <v>925</v>
      </c>
      <c r="C31" s="44"/>
      <c r="D31" s="44"/>
      <c r="E31" s="44"/>
      <c r="F31" s="44"/>
      <c r="G31" s="44"/>
      <c r="H31" s="44"/>
      <c r="I31" s="44"/>
    </row>
    <row r="32" spans="1:9" ht="13.5" customHeight="1">
      <c r="A32" s="43" t="s">
        <v>926</v>
      </c>
      <c r="B32" s="43" t="s">
        <v>927</v>
      </c>
      <c r="C32" s="44"/>
      <c r="D32" s="44"/>
      <c r="E32" s="44"/>
      <c r="F32" s="44"/>
      <c r="G32" s="44"/>
      <c r="H32" s="44"/>
      <c r="I32" s="44"/>
    </row>
    <row r="33" spans="1:9" ht="13.5" customHeight="1">
      <c r="A33" s="43" t="s">
        <v>928</v>
      </c>
      <c r="B33" s="43" t="s">
        <v>929</v>
      </c>
      <c r="C33" s="44"/>
      <c r="D33" s="44"/>
      <c r="E33" s="44"/>
      <c r="F33" s="44"/>
      <c r="G33" s="44"/>
      <c r="H33" s="44"/>
      <c r="I33" s="44"/>
    </row>
  </sheetData>
  <mergeCells count="8">
    <mergeCell ref="A26:I26"/>
    <mergeCell ref="A27:I27"/>
    <mergeCell ref="A28:I28"/>
    <mergeCell ref="A1:I1"/>
    <mergeCell ref="A2:I2"/>
    <mergeCell ref="A7:I7"/>
    <mergeCell ref="A16:I16"/>
    <mergeCell ref="A22:I22"/>
  </mergeCells>
  <pageMargins left="0.75" right="0.75" top="1" bottom="1" header="0.511811023622047" footer="0.511811023622047"/>
  <pageSetup paperSize="9" orientation="portrait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I172"/>
  <sheetViews>
    <sheetView showGridLines="0" zoomScaleNormal="100" workbookViewId="0">
      <pane ySplit="2" topLeftCell="A3" activePane="bottomLeft" state="frozen"/>
      <selection pane="bottomLeft" activeCell="B9" sqref="B9"/>
    </sheetView>
  </sheetViews>
  <sheetFormatPr baseColWidth="10" defaultColWidth="8.5" defaultRowHeight="14"/>
  <cols>
    <col min="1" max="1" width="10.1640625" customWidth="1"/>
    <col min="2" max="2" width="50.1640625" customWidth="1"/>
    <col min="3" max="3" width="11.83203125" customWidth="1"/>
    <col min="4" max="4" width="9.83203125" customWidth="1"/>
    <col min="5" max="5" width="13.33203125" customWidth="1"/>
    <col min="6" max="6" width="22.6640625" customWidth="1"/>
    <col min="7" max="7" width="5.33203125" customWidth="1"/>
    <col min="8" max="9" width="16" customWidth="1"/>
  </cols>
  <sheetData>
    <row r="1" spans="1:7" ht="15" customHeight="1">
      <c r="A1" s="67" t="s">
        <v>930</v>
      </c>
      <c r="B1" s="67"/>
      <c r="C1" s="67"/>
      <c r="D1" s="67"/>
      <c r="E1" s="67"/>
      <c r="F1" s="67"/>
      <c r="G1" s="67"/>
    </row>
    <row r="2" spans="1:7" ht="13.5" customHeight="1">
      <c r="A2" s="68" t="s">
        <v>931</v>
      </c>
      <c r="B2" s="68"/>
      <c r="C2" s="68"/>
      <c r="D2" s="68"/>
      <c r="E2" s="68"/>
      <c r="F2" s="68"/>
      <c r="G2" s="68"/>
    </row>
    <row r="3" spans="1:7" ht="25.5" customHeight="1">
      <c r="A3" s="46" t="s">
        <v>932</v>
      </c>
      <c r="B3" s="46" t="s">
        <v>933</v>
      </c>
      <c r="C3" s="46" t="s">
        <v>934</v>
      </c>
      <c r="D3" s="46"/>
      <c r="E3" s="46"/>
      <c r="F3" s="46"/>
      <c r="G3" s="46" t="s">
        <v>236</v>
      </c>
    </row>
    <row r="4" spans="1:7" ht="13.5" customHeight="1">
      <c r="A4" s="43">
        <v>2</v>
      </c>
      <c r="B4" s="43">
        <v>0.9</v>
      </c>
      <c r="C4" s="43" t="s">
        <v>935</v>
      </c>
      <c r="D4" s="44"/>
      <c r="E4" s="44"/>
      <c r="F4" s="44"/>
      <c r="G4" s="44"/>
    </row>
    <row r="5" spans="1:7" ht="13.5" customHeight="1">
      <c r="A5" s="43">
        <v>3</v>
      </c>
      <c r="B5" s="43">
        <v>0.85</v>
      </c>
      <c r="C5" s="43" t="s">
        <v>936</v>
      </c>
      <c r="D5" s="44"/>
      <c r="E5" s="44"/>
      <c r="F5" s="44"/>
      <c r="G5" s="44"/>
    </row>
    <row r="6" spans="1:7" ht="13.5" customHeight="1">
      <c r="A6" s="43">
        <v>5</v>
      </c>
      <c r="B6" s="43">
        <v>0.8</v>
      </c>
      <c r="C6" s="43" t="s">
        <v>937</v>
      </c>
      <c r="D6" s="44"/>
      <c r="E6" s="44"/>
      <c r="F6" s="44"/>
      <c r="G6" s="44"/>
    </row>
    <row r="7" spans="1:7" ht="13.5" customHeight="1">
      <c r="A7" s="43">
        <v>7.5</v>
      </c>
      <c r="B7" s="43">
        <v>0.75</v>
      </c>
      <c r="C7" s="43" t="s">
        <v>938</v>
      </c>
      <c r="D7" s="44"/>
      <c r="E7" s="44"/>
      <c r="F7" s="44"/>
      <c r="G7" s="44"/>
    </row>
    <row r="8" spans="1:7" ht="13.5" customHeight="1">
      <c r="A8" s="43">
        <v>10</v>
      </c>
      <c r="B8" s="43">
        <v>0.7</v>
      </c>
      <c r="C8" s="43" t="s">
        <v>939</v>
      </c>
      <c r="D8" s="44"/>
      <c r="E8" s="44"/>
      <c r="F8" s="44"/>
      <c r="G8" s="44"/>
    </row>
    <row r="9" spans="1:7" ht="13.5" customHeight="1">
      <c r="A9" s="43">
        <v>20</v>
      </c>
      <c r="B9" s="43">
        <v>0.65</v>
      </c>
      <c r="C9" s="43" t="s">
        <v>940</v>
      </c>
      <c r="D9" s="44"/>
      <c r="E9" s="44"/>
      <c r="F9" s="44"/>
      <c r="G9" s="44"/>
    </row>
    <row r="10" spans="1:7" ht="13.5" customHeight="1">
      <c r="A10" s="43">
        <v>30</v>
      </c>
      <c r="B10" s="43">
        <v>0.6</v>
      </c>
      <c r="C10" s="43" t="s">
        <v>941</v>
      </c>
      <c r="D10" s="44"/>
      <c r="E10" s="44"/>
      <c r="F10" s="44"/>
      <c r="G10" s="44"/>
    </row>
    <row r="11" spans="1:7" ht="13.5" customHeight="1">
      <c r="A11" s="43">
        <v>40</v>
      </c>
      <c r="B11" s="43">
        <v>0.55000000000000004</v>
      </c>
      <c r="C11" s="43" t="s">
        <v>942</v>
      </c>
      <c r="D11" s="44"/>
      <c r="E11" s="44"/>
      <c r="F11" s="44"/>
      <c r="G11" s="44"/>
    </row>
    <row r="12" spans="1:7" ht="13.5" customHeight="1">
      <c r="A12" s="43">
        <v>60</v>
      </c>
      <c r="B12" s="43">
        <v>0.5</v>
      </c>
      <c r="C12" s="43" t="s">
        <v>943</v>
      </c>
      <c r="D12" s="44"/>
      <c r="E12" s="44"/>
      <c r="F12" s="44"/>
      <c r="G12" s="44"/>
    </row>
    <row r="13" spans="1:7" ht="13.5" customHeight="1">
      <c r="A13" s="43">
        <v>100</v>
      </c>
      <c r="B13" s="43">
        <v>0.45</v>
      </c>
      <c r="C13" s="43" t="s">
        <v>944</v>
      </c>
      <c r="D13" s="44"/>
      <c r="E13" s="44"/>
      <c r="F13" s="44"/>
      <c r="G13" s="44"/>
    </row>
    <row r="14" spans="1:7" ht="13.5" customHeight="1">
      <c r="A14" s="43" t="s">
        <v>945</v>
      </c>
      <c r="B14" s="43" t="s">
        <v>946</v>
      </c>
      <c r="C14" s="44"/>
      <c r="D14" s="44"/>
      <c r="E14" s="44"/>
      <c r="F14" s="44"/>
      <c r="G14" s="44"/>
    </row>
    <row r="15" spans="1:7" ht="13.5" customHeight="1">
      <c r="A15" s="68" t="s">
        <v>947</v>
      </c>
      <c r="B15" s="68"/>
      <c r="C15" s="68"/>
      <c r="D15" s="68"/>
      <c r="E15" s="68"/>
      <c r="F15" s="68"/>
      <c r="G15" s="68"/>
    </row>
    <row r="16" spans="1:7" ht="51.75" customHeight="1">
      <c r="A16" s="46" t="s">
        <v>948</v>
      </c>
      <c r="B16" s="46" t="s">
        <v>949</v>
      </c>
      <c r="C16" s="46"/>
      <c r="D16" s="46"/>
      <c r="E16" s="46"/>
      <c r="F16" s="46"/>
      <c r="G16" s="46" t="s">
        <v>236</v>
      </c>
    </row>
    <row r="17" spans="1:9" ht="13.5" customHeight="1">
      <c r="A17" s="43" t="s">
        <v>905</v>
      </c>
      <c r="B17" s="43">
        <v>0.9</v>
      </c>
      <c r="C17" s="44"/>
      <c r="D17" s="44"/>
      <c r="E17" s="44"/>
      <c r="F17" s="44"/>
      <c r="G17" s="44"/>
    </row>
    <row r="18" spans="1:9" ht="13.5" customHeight="1">
      <c r="A18" s="43" t="s">
        <v>909</v>
      </c>
      <c r="B18" s="43">
        <v>0.8</v>
      </c>
      <c r="C18" s="44"/>
      <c r="D18" s="44"/>
      <c r="E18" s="44"/>
      <c r="F18" s="44"/>
      <c r="G18" s="44"/>
    </row>
    <row r="19" spans="1:9" ht="13.5" customHeight="1">
      <c r="A19" s="68" t="s">
        <v>950</v>
      </c>
      <c r="B19" s="68"/>
      <c r="C19" s="68"/>
      <c r="D19" s="68"/>
      <c r="E19" s="68"/>
      <c r="F19" s="68"/>
      <c r="G19" s="68"/>
    </row>
    <row r="20" spans="1:9" ht="34.5" customHeight="1">
      <c r="A20" s="47" t="s">
        <v>951</v>
      </c>
      <c r="B20" s="47" t="s">
        <v>952</v>
      </c>
      <c r="C20" s="47" t="s">
        <v>300</v>
      </c>
      <c r="D20" s="47" t="s">
        <v>301</v>
      </c>
      <c r="E20" s="47" t="s">
        <v>953</v>
      </c>
      <c r="F20" s="47" t="s">
        <v>954</v>
      </c>
      <c r="G20" s="47" t="s">
        <v>236</v>
      </c>
      <c r="H20" s="34" t="s">
        <v>303</v>
      </c>
      <c r="I20" s="34" t="s">
        <v>955</v>
      </c>
    </row>
    <row r="21" spans="1:9" ht="13.5" customHeight="1">
      <c r="A21" s="48">
        <v>1</v>
      </c>
      <c r="B21" s="48" t="s">
        <v>306</v>
      </c>
      <c r="C21" s="48">
        <v>3.55</v>
      </c>
      <c r="D21" s="48">
        <v>5000</v>
      </c>
      <c r="E21" s="48" t="s">
        <v>307</v>
      </c>
      <c r="F21" s="48" t="s">
        <v>956</v>
      </c>
      <c r="G21" s="49"/>
      <c r="H21" s="3">
        <f>D21*'Currency-Conversion'!$C$10</f>
        <v>15319397249.999998</v>
      </c>
      <c r="I21" s="3" t="str">
        <f>E21&amp;" — تبدیل خودکار ممکن نشد (نرخ به‌ازای واحد ظرفیت)."</f>
        <v>150/MW (min 10,000) — تبدیل خودکار ممکن نشد (نرخ به‌ازای واحد ظرفیت).</v>
      </c>
    </row>
    <row r="22" spans="1:9" ht="13.5" customHeight="1">
      <c r="A22" s="48">
        <v>2</v>
      </c>
      <c r="B22" s="48" t="s">
        <v>309</v>
      </c>
      <c r="C22" s="48">
        <v>3.75</v>
      </c>
      <c r="D22" s="48">
        <v>5000</v>
      </c>
      <c r="E22" s="48" t="s">
        <v>310</v>
      </c>
      <c r="F22" s="48" t="s">
        <v>957</v>
      </c>
      <c r="G22" s="49"/>
      <c r="H22" s="3">
        <f>D22*'Currency-Conversion'!$C$10</f>
        <v>15319397249.999998</v>
      </c>
      <c r="I22" s="3" t="str">
        <f>E22&amp;" — تبدیل خودکار ممکن نشد (نرخ به‌ازای واحد ظرفیت)."</f>
        <v>150/MW — تبدیل خودکار ممکن نشد (نرخ به‌ازای واحد ظرفیت).</v>
      </c>
    </row>
    <row r="23" spans="1:9" ht="13.5" customHeight="1">
      <c r="A23" s="48">
        <v>3</v>
      </c>
      <c r="B23" s="48" t="s">
        <v>312</v>
      </c>
      <c r="C23" s="48">
        <v>4.4000000000000004</v>
      </c>
      <c r="D23" s="48">
        <v>5000</v>
      </c>
      <c r="E23" s="48">
        <v>25000</v>
      </c>
      <c r="F23" s="48" t="s">
        <v>958</v>
      </c>
      <c r="G23" s="49"/>
      <c r="H23" s="3">
        <f>D23*'Currency-Conversion'!$C$10</f>
        <v>15319397249.999998</v>
      </c>
      <c r="I23" s="3">
        <f>E23*'Currency-Conversion'!$C$10</f>
        <v>76596986250</v>
      </c>
    </row>
    <row r="24" spans="1:9" ht="13.5" customHeight="1">
      <c r="A24" s="48">
        <v>4</v>
      </c>
      <c r="B24" s="48" t="s">
        <v>314</v>
      </c>
      <c r="C24" s="48">
        <v>4.75</v>
      </c>
      <c r="D24" s="48">
        <v>5000</v>
      </c>
      <c r="E24" s="48" t="s">
        <v>315</v>
      </c>
      <c r="F24" s="48" t="s">
        <v>959</v>
      </c>
      <c r="G24" s="49"/>
      <c r="H24" s="3">
        <f>D24*'Currency-Conversion'!$C$10</f>
        <v>15319397249.999998</v>
      </c>
      <c r="I24" s="3" t="str">
        <f>E24&amp;" — تبدیل خودکار ممکن نشد (نرخ به‌ازای واحد ظرفیت)."</f>
        <v>250/MW (min 25,000) — تبدیل خودکار ممکن نشد (نرخ به‌ازای واحد ظرفیت).</v>
      </c>
    </row>
    <row r="25" spans="1:9" ht="13.5" customHeight="1">
      <c r="A25" s="48">
        <v>5</v>
      </c>
      <c r="B25" s="48" t="s">
        <v>317</v>
      </c>
      <c r="C25" s="48">
        <v>4.95</v>
      </c>
      <c r="D25" s="48">
        <v>5000</v>
      </c>
      <c r="E25" s="48" t="s">
        <v>318</v>
      </c>
      <c r="F25" s="48" t="s">
        <v>960</v>
      </c>
      <c r="G25" s="49"/>
      <c r="H25" s="3">
        <f>D25*'Currency-Conversion'!$C$10</f>
        <v>15319397249.999998</v>
      </c>
      <c r="I25" s="3" t="str">
        <f>E25&amp;" — تبدیل خودکار ممکن نشد (نرخ به‌ازای واحد ظرفیت)."</f>
        <v>250/MW — تبدیل خودکار ممکن نشد (نرخ به‌ازای واحد ظرفیت).</v>
      </c>
    </row>
    <row r="26" spans="1:9" ht="13.5" customHeight="1">
      <c r="A26" s="48">
        <v>6</v>
      </c>
      <c r="B26" s="48" t="s">
        <v>319</v>
      </c>
      <c r="C26" s="48">
        <v>5.4</v>
      </c>
      <c r="D26" s="48">
        <v>7500</v>
      </c>
      <c r="E26" s="48" t="s">
        <v>318</v>
      </c>
      <c r="F26" s="48" t="s">
        <v>961</v>
      </c>
      <c r="G26" s="49"/>
      <c r="H26" s="3">
        <f>D26*'Currency-Conversion'!$C$10</f>
        <v>22979095874.999996</v>
      </c>
      <c r="I26" s="3" t="str">
        <f>E26&amp;" — تبدیل خودکار ممکن نشد (نرخ به‌ازای واحد ظرفیت)."</f>
        <v>250/MW — تبدیل خودکار ممکن نشد (نرخ به‌ازای واحد ظرفیت).</v>
      </c>
    </row>
    <row r="27" spans="1:9" ht="13.5" customHeight="1">
      <c r="A27" s="48">
        <v>7</v>
      </c>
      <c r="B27" s="48" t="s">
        <v>321</v>
      </c>
      <c r="C27" s="48">
        <v>3.1</v>
      </c>
      <c r="D27" s="48">
        <v>2500</v>
      </c>
      <c r="E27" s="48">
        <v>5000</v>
      </c>
      <c r="F27" s="48" t="s">
        <v>962</v>
      </c>
      <c r="G27" s="49"/>
      <c r="H27" s="3">
        <f>D27*'Currency-Conversion'!$C$10</f>
        <v>7659698624.999999</v>
      </c>
      <c r="I27" s="3">
        <f>E27*'Currency-Conversion'!$C$10</f>
        <v>15319397249.999998</v>
      </c>
    </row>
    <row r="28" spans="1:9" ht="13.5" customHeight="1">
      <c r="A28" s="48">
        <v>8</v>
      </c>
      <c r="B28" s="48" t="s">
        <v>323</v>
      </c>
      <c r="C28" s="48">
        <v>3.3</v>
      </c>
      <c r="D28" s="48">
        <v>2500</v>
      </c>
      <c r="E28" s="48">
        <v>5000</v>
      </c>
      <c r="F28" s="48" t="s">
        <v>963</v>
      </c>
      <c r="G28" s="49"/>
      <c r="H28" s="3">
        <f>D28*'Currency-Conversion'!$C$10</f>
        <v>7659698624.999999</v>
      </c>
      <c r="I28" s="3">
        <f>E28*'Currency-Conversion'!$C$10</f>
        <v>15319397249.999998</v>
      </c>
    </row>
    <row r="29" spans="1:9" ht="13.5" customHeight="1">
      <c r="A29" s="48">
        <v>9</v>
      </c>
      <c r="B29" s="48" t="s">
        <v>325</v>
      </c>
      <c r="C29" s="48">
        <v>3.1</v>
      </c>
      <c r="D29" s="48">
        <v>2500</v>
      </c>
      <c r="E29" s="48">
        <v>5000</v>
      </c>
      <c r="F29" s="48" t="s">
        <v>964</v>
      </c>
      <c r="G29" s="49"/>
      <c r="H29" s="3">
        <f>D29*'Currency-Conversion'!$C$10</f>
        <v>7659698624.999999</v>
      </c>
      <c r="I29" s="3">
        <f>E29*'Currency-Conversion'!$C$10</f>
        <v>15319397249.999998</v>
      </c>
    </row>
    <row r="30" spans="1:9" ht="13.5" customHeight="1">
      <c r="A30" s="48">
        <v>10</v>
      </c>
      <c r="B30" s="48" t="s">
        <v>327</v>
      </c>
      <c r="C30" s="48">
        <v>4.2</v>
      </c>
      <c r="D30" s="48">
        <v>5000</v>
      </c>
      <c r="E30" s="48">
        <v>10000</v>
      </c>
      <c r="F30" s="48" t="s">
        <v>965</v>
      </c>
      <c r="G30" s="49"/>
      <c r="H30" s="3">
        <f>D30*'Currency-Conversion'!$C$10</f>
        <v>15319397249.999998</v>
      </c>
      <c r="I30" s="3">
        <f>E30*'Currency-Conversion'!$C$10</f>
        <v>30638794499.999996</v>
      </c>
    </row>
    <row r="31" spans="1:9" ht="13.5" customHeight="1">
      <c r="A31" s="48">
        <v>11</v>
      </c>
      <c r="B31" s="48" t="s">
        <v>329</v>
      </c>
      <c r="C31" s="48">
        <v>4.7</v>
      </c>
      <c r="D31" s="48">
        <v>5000</v>
      </c>
      <c r="E31" s="48" t="s">
        <v>330</v>
      </c>
      <c r="F31" s="48" t="s">
        <v>966</v>
      </c>
      <c r="G31" s="49"/>
      <c r="H31" s="3">
        <f>D31*'Currency-Conversion'!$C$10</f>
        <v>15319397249.999998</v>
      </c>
      <c r="I31" s="3" t="str">
        <f>E31&amp;" — تبدیل خودکار ممکن نشد (نرخ به‌ازای واحد ظرفیت)."</f>
        <v>750/MW (min 10,000) — تبدیل خودکار ممکن نشد (نرخ به‌ازای واحد ظرفیت).</v>
      </c>
    </row>
    <row r="32" spans="1:9" ht="13.5" customHeight="1">
      <c r="A32" s="48">
        <v>12</v>
      </c>
      <c r="B32" s="48" t="s">
        <v>332</v>
      </c>
      <c r="C32" s="48">
        <v>5.5</v>
      </c>
      <c r="D32" s="48">
        <v>5000</v>
      </c>
      <c r="E32" s="48" t="s">
        <v>333</v>
      </c>
      <c r="F32" s="48" t="s">
        <v>967</v>
      </c>
      <c r="G32" s="49"/>
      <c r="H32" s="3">
        <f>D32*'Currency-Conversion'!$C$10</f>
        <v>15319397249.999998</v>
      </c>
      <c r="I32" s="3" t="str">
        <f>E32&amp;" — تبدیل خودکار ممکن نشد (نرخ به‌ازای واحد ظرفیت)."</f>
        <v>750/MW — تبدیل خودکار ممکن نشد (نرخ به‌ازای واحد ظرفیت).</v>
      </c>
    </row>
    <row r="33" spans="1:9" ht="13.5" customHeight="1">
      <c r="A33" s="48">
        <v>13</v>
      </c>
      <c r="B33" s="48" t="s">
        <v>335</v>
      </c>
      <c r="C33" s="48">
        <v>3.3</v>
      </c>
      <c r="D33" s="48">
        <v>1000</v>
      </c>
      <c r="E33" s="48">
        <v>2000</v>
      </c>
      <c r="F33" s="48" t="s">
        <v>968</v>
      </c>
      <c r="G33" s="49"/>
      <c r="H33" s="3">
        <f>D33*'Currency-Conversion'!$C$10</f>
        <v>3063879449.9999995</v>
      </c>
      <c r="I33" s="3">
        <f>E33*'Currency-Conversion'!$C$10</f>
        <v>6127758899.999999</v>
      </c>
    </row>
    <row r="34" spans="1:9" ht="13.5" customHeight="1">
      <c r="A34" s="48">
        <v>14</v>
      </c>
      <c r="B34" s="48" t="s">
        <v>337</v>
      </c>
      <c r="C34" s="48">
        <v>3.1</v>
      </c>
      <c r="D34" s="48">
        <v>1000</v>
      </c>
      <c r="E34" s="48">
        <v>2000</v>
      </c>
      <c r="F34" s="48" t="s">
        <v>969</v>
      </c>
      <c r="G34" s="49"/>
      <c r="H34" s="3">
        <f>D34*'Currency-Conversion'!$C$10</f>
        <v>3063879449.9999995</v>
      </c>
      <c r="I34" s="3">
        <f>E34*'Currency-Conversion'!$C$10</f>
        <v>6127758899.999999</v>
      </c>
    </row>
    <row r="35" spans="1:9" ht="13.5" customHeight="1">
      <c r="A35" s="48">
        <v>15</v>
      </c>
      <c r="B35" s="48" t="s">
        <v>339</v>
      </c>
      <c r="C35" s="48">
        <v>4.95</v>
      </c>
      <c r="D35" s="48">
        <v>2000</v>
      </c>
      <c r="E35" s="48" t="s">
        <v>340</v>
      </c>
      <c r="F35" s="48" t="s">
        <v>970</v>
      </c>
      <c r="G35" s="49"/>
      <c r="H35" s="3">
        <f>D35*'Currency-Conversion'!$C$10</f>
        <v>6127758899.999999</v>
      </c>
      <c r="I35" s="3" t="str">
        <f>E35&amp;" — تبدیل خودکار ممکن نشد (نرخ به‌ازای واحد ظرفیت)."</f>
        <v>1000/MW (min 5,000) — تبدیل خودکار ممکن نشد (نرخ به‌ازای واحد ظرفیت).</v>
      </c>
    </row>
    <row r="36" spans="1:9" ht="13.5" customHeight="1">
      <c r="A36" s="48">
        <v>16</v>
      </c>
      <c r="B36" s="48" t="s">
        <v>342</v>
      </c>
      <c r="C36" s="48">
        <v>4.2</v>
      </c>
      <c r="D36" s="48">
        <v>2000</v>
      </c>
      <c r="E36" s="48" t="s">
        <v>343</v>
      </c>
      <c r="F36" s="48" t="s">
        <v>971</v>
      </c>
      <c r="G36" s="49"/>
      <c r="H36" s="3">
        <f>D36*'Currency-Conversion'!$C$10</f>
        <v>6127758899.999999</v>
      </c>
      <c r="I36" s="3" t="str">
        <f>E36&amp;" — تبدیل خودکار ممکن نشد (نرخ به‌ازای واحد ظرفیت)."</f>
        <v>1000/MW — تبدیل خودکار ممکن نشد (نرخ به‌ازای واحد ظرفیت).</v>
      </c>
    </row>
    <row r="37" spans="1:9" ht="13.5" customHeight="1">
      <c r="A37" s="48">
        <v>17</v>
      </c>
      <c r="B37" s="48" t="s">
        <v>345</v>
      </c>
      <c r="C37" s="48">
        <v>3.4</v>
      </c>
      <c r="D37" s="48">
        <v>1000</v>
      </c>
      <c r="E37" s="48">
        <v>2000</v>
      </c>
      <c r="F37" s="48" t="s">
        <v>972</v>
      </c>
      <c r="G37" s="49"/>
      <c r="H37" s="3">
        <f>D37*'Currency-Conversion'!$C$10</f>
        <v>3063879449.9999995</v>
      </c>
      <c r="I37" s="3">
        <f>E37*'Currency-Conversion'!$C$10</f>
        <v>6127758899.999999</v>
      </c>
    </row>
    <row r="38" spans="1:9" ht="13.5" customHeight="1">
      <c r="A38" s="48">
        <v>18</v>
      </c>
      <c r="B38" s="48" t="s">
        <v>347</v>
      </c>
      <c r="C38" s="48">
        <v>3</v>
      </c>
      <c r="D38" s="48">
        <v>1000</v>
      </c>
      <c r="E38" s="48">
        <v>2000</v>
      </c>
      <c r="F38" s="48" t="s">
        <v>973</v>
      </c>
      <c r="G38" s="49"/>
      <c r="H38" s="3">
        <f>D38*'Currency-Conversion'!$C$10</f>
        <v>3063879449.9999995</v>
      </c>
      <c r="I38" s="3">
        <f>E38*'Currency-Conversion'!$C$10</f>
        <v>6127758899.999999</v>
      </c>
    </row>
    <row r="39" spans="1:9" ht="13.5" customHeight="1">
      <c r="A39" s="48">
        <v>19</v>
      </c>
      <c r="B39" s="48" t="s">
        <v>349</v>
      </c>
      <c r="C39" s="48">
        <v>2.95</v>
      </c>
      <c r="D39" s="48">
        <v>2500</v>
      </c>
      <c r="E39" s="48">
        <v>10000</v>
      </c>
      <c r="F39" s="48" t="s">
        <v>974</v>
      </c>
      <c r="G39" s="49"/>
      <c r="H39" s="3">
        <f>D39*'Currency-Conversion'!$C$10</f>
        <v>7659698624.999999</v>
      </c>
      <c r="I39" s="3">
        <f>E39*'Currency-Conversion'!$C$10</f>
        <v>30638794499.999996</v>
      </c>
    </row>
    <row r="40" spans="1:9" ht="13.5" customHeight="1">
      <c r="A40" s="48">
        <v>20</v>
      </c>
      <c r="B40" s="48" t="s">
        <v>351</v>
      </c>
      <c r="C40" s="48">
        <v>3.3</v>
      </c>
      <c r="D40" s="48">
        <v>2500</v>
      </c>
      <c r="E40" s="48" t="s">
        <v>352</v>
      </c>
      <c r="F40" s="48" t="s">
        <v>975</v>
      </c>
      <c r="G40" s="49"/>
      <c r="H40" s="3">
        <f>D40*'Currency-Conversion'!$C$10</f>
        <v>7659698624.999999</v>
      </c>
      <c r="I40" s="3" t="str">
        <f>E40&amp;" — تبدیل خودکار ممکن نشد (نرخ به‌ازای واحد ظرفیت)."</f>
        <v>100/MW — تبدیل خودکار ممکن نشد (نرخ به‌ازای واحد ظرفیت).</v>
      </c>
    </row>
    <row r="41" spans="1:9" ht="13.5" customHeight="1">
      <c r="A41" s="48">
        <v>21</v>
      </c>
      <c r="B41" s="48" t="s">
        <v>353</v>
      </c>
      <c r="C41" s="48">
        <v>3.3</v>
      </c>
      <c r="D41" s="48">
        <v>2500</v>
      </c>
      <c r="E41" s="48">
        <v>10000</v>
      </c>
      <c r="F41" s="48" t="s">
        <v>976</v>
      </c>
      <c r="G41" s="49"/>
      <c r="H41" s="3">
        <f>D41*'Currency-Conversion'!$C$10</f>
        <v>7659698624.999999</v>
      </c>
      <c r="I41" s="3">
        <f>E41*'Currency-Conversion'!$C$10</f>
        <v>30638794499.999996</v>
      </c>
    </row>
    <row r="42" spans="1:9" ht="13.5" customHeight="1">
      <c r="A42" s="48">
        <v>22</v>
      </c>
      <c r="B42" s="48" t="s">
        <v>354</v>
      </c>
      <c r="C42" s="48">
        <v>3.6</v>
      </c>
      <c r="D42" s="48">
        <v>2500</v>
      </c>
      <c r="E42" s="48" t="s">
        <v>352</v>
      </c>
      <c r="F42" s="48" t="s">
        <v>977</v>
      </c>
      <c r="G42" s="49"/>
      <c r="H42" s="3">
        <f>D42*'Currency-Conversion'!$C$10</f>
        <v>7659698624.999999</v>
      </c>
      <c r="I42" s="3" t="str">
        <f>E42&amp;" — تبدیل خودکار ممکن نشد (نرخ به‌ازای واحد ظرفیت)."</f>
        <v>100/MW — تبدیل خودکار ممکن نشد (نرخ به‌ازای واحد ظرفیت).</v>
      </c>
    </row>
    <row r="43" spans="1:9" ht="13.5" customHeight="1">
      <c r="A43" s="48">
        <v>23</v>
      </c>
      <c r="B43" s="48" t="s">
        <v>355</v>
      </c>
      <c r="C43" s="48">
        <v>3.3</v>
      </c>
      <c r="D43" s="48">
        <v>2500</v>
      </c>
      <c r="E43" s="48">
        <v>10000</v>
      </c>
      <c r="F43" s="48" t="s">
        <v>978</v>
      </c>
      <c r="G43" s="49"/>
      <c r="H43" s="3">
        <f>D43*'Currency-Conversion'!$C$10</f>
        <v>7659698624.999999</v>
      </c>
      <c r="I43" s="3">
        <f>E43*'Currency-Conversion'!$C$10</f>
        <v>30638794499.999996</v>
      </c>
    </row>
    <row r="44" spans="1:9" ht="13.5" customHeight="1">
      <c r="A44" s="48">
        <v>24</v>
      </c>
      <c r="B44" s="48" t="s">
        <v>356</v>
      </c>
      <c r="C44" s="48">
        <v>3.65</v>
      </c>
      <c r="D44" s="48">
        <v>2500</v>
      </c>
      <c r="E44" s="48" t="s">
        <v>352</v>
      </c>
      <c r="F44" s="48" t="s">
        <v>979</v>
      </c>
      <c r="G44" s="49"/>
      <c r="H44" s="3">
        <f>D44*'Currency-Conversion'!$C$10</f>
        <v>7659698624.999999</v>
      </c>
      <c r="I44" s="3" t="str">
        <f>E44&amp;" — تبدیل خودکار ممکن نشد (نرخ به‌ازای واحد ظرفیت)."</f>
        <v>100/MW — تبدیل خودکار ممکن نشد (نرخ به‌ازای واحد ظرفیت).</v>
      </c>
    </row>
    <row r="45" spans="1:9" ht="13.5" customHeight="1">
      <c r="A45" s="48">
        <v>25</v>
      </c>
      <c r="B45" s="48" t="s">
        <v>357</v>
      </c>
      <c r="C45" s="48">
        <v>3.3</v>
      </c>
      <c r="D45" s="48">
        <v>2500</v>
      </c>
      <c r="E45" s="48">
        <v>5000</v>
      </c>
      <c r="F45" s="48" t="s">
        <v>980</v>
      </c>
      <c r="G45" s="49"/>
      <c r="H45" s="3">
        <f>D45*'Currency-Conversion'!$C$10</f>
        <v>7659698624.999999</v>
      </c>
      <c r="I45" s="3">
        <f>E45*'Currency-Conversion'!$C$10</f>
        <v>15319397249.999998</v>
      </c>
    </row>
    <row r="46" spans="1:9" ht="13.5" customHeight="1">
      <c r="A46" s="48">
        <v>26</v>
      </c>
      <c r="B46" s="48" t="s">
        <v>358</v>
      </c>
      <c r="C46" s="48">
        <v>3.75</v>
      </c>
      <c r="D46" s="48">
        <v>2500</v>
      </c>
      <c r="E46" s="48" t="s">
        <v>352</v>
      </c>
      <c r="F46" s="48" t="s">
        <v>981</v>
      </c>
      <c r="G46" s="49"/>
      <c r="H46" s="3">
        <f>D46*'Currency-Conversion'!$C$10</f>
        <v>7659698624.999999</v>
      </c>
      <c r="I46" s="3" t="str">
        <f>E46&amp;" — تبدیل خودکار ممکن نشد (نرخ به‌ازای واحد ظرفیت)."</f>
        <v>100/MW — تبدیل خودکار ممکن نشد (نرخ به‌ازای واحد ظرفیت).</v>
      </c>
    </row>
    <row r="47" spans="1:9" ht="13.5" customHeight="1">
      <c r="A47" s="48">
        <v>27</v>
      </c>
      <c r="B47" s="48" t="s">
        <v>359</v>
      </c>
      <c r="C47" s="48">
        <v>3.6</v>
      </c>
      <c r="D47" s="48">
        <v>2500</v>
      </c>
      <c r="E47" s="48">
        <v>5000</v>
      </c>
      <c r="F47" s="48" t="s">
        <v>982</v>
      </c>
      <c r="G47" s="49"/>
      <c r="H47" s="3">
        <f>D47*'Currency-Conversion'!$C$10</f>
        <v>7659698624.999999</v>
      </c>
      <c r="I47" s="3">
        <f>E47*'Currency-Conversion'!$C$10</f>
        <v>15319397249.999998</v>
      </c>
    </row>
    <row r="48" spans="1:9" ht="13.5" customHeight="1">
      <c r="A48" s="48">
        <v>28</v>
      </c>
      <c r="B48" s="48" t="s">
        <v>360</v>
      </c>
      <c r="C48" s="48">
        <v>4.0999999999999996</v>
      </c>
      <c r="D48" s="48">
        <v>2500</v>
      </c>
      <c r="E48" s="48">
        <v>10000</v>
      </c>
      <c r="F48" s="48" t="s">
        <v>983</v>
      </c>
      <c r="G48" s="49"/>
      <c r="H48" s="3">
        <f>D48*'Currency-Conversion'!$C$10</f>
        <v>7659698624.999999</v>
      </c>
      <c r="I48" s="3">
        <f>E48*'Currency-Conversion'!$C$10</f>
        <v>30638794499.999996</v>
      </c>
    </row>
    <row r="49" spans="1:9" ht="13.5" customHeight="1">
      <c r="A49" s="48">
        <v>29</v>
      </c>
      <c r="B49" s="48" t="s">
        <v>361</v>
      </c>
      <c r="C49" s="48">
        <v>3.85</v>
      </c>
      <c r="D49" s="48">
        <v>2500</v>
      </c>
      <c r="E49" s="48">
        <v>5000</v>
      </c>
      <c r="F49" s="48" t="s">
        <v>984</v>
      </c>
      <c r="G49" s="49"/>
      <c r="H49" s="3">
        <f>D49*'Currency-Conversion'!$C$10</f>
        <v>7659698624.999999</v>
      </c>
      <c r="I49" s="3">
        <f>E49*'Currency-Conversion'!$C$10</f>
        <v>15319397249.999998</v>
      </c>
    </row>
    <row r="50" spans="1:9" ht="13.5" customHeight="1">
      <c r="A50" s="48">
        <v>30</v>
      </c>
      <c r="B50" s="48" t="s">
        <v>362</v>
      </c>
      <c r="C50" s="48">
        <v>4.25</v>
      </c>
      <c r="D50" s="48">
        <v>2500</v>
      </c>
      <c r="E50" s="48">
        <v>10000</v>
      </c>
      <c r="F50" s="48" t="s">
        <v>985</v>
      </c>
      <c r="G50" s="49"/>
      <c r="H50" s="3">
        <f>D50*'Currency-Conversion'!$C$10</f>
        <v>7659698624.999999</v>
      </c>
      <c r="I50" s="3">
        <f>E50*'Currency-Conversion'!$C$10</f>
        <v>30638794499.999996</v>
      </c>
    </row>
    <row r="51" spans="1:9" ht="13.5" customHeight="1">
      <c r="A51" s="48">
        <v>31</v>
      </c>
      <c r="B51" s="48" t="s">
        <v>363</v>
      </c>
      <c r="C51" s="48">
        <v>3.3</v>
      </c>
      <c r="D51" s="48">
        <v>2500</v>
      </c>
      <c r="E51" s="48">
        <v>5000</v>
      </c>
      <c r="F51" s="48" t="s">
        <v>986</v>
      </c>
      <c r="G51" s="49"/>
      <c r="H51" s="3">
        <f>D51*'Currency-Conversion'!$C$10</f>
        <v>7659698624.999999</v>
      </c>
      <c r="I51" s="3">
        <f>E51*'Currency-Conversion'!$C$10</f>
        <v>15319397249.999998</v>
      </c>
    </row>
    <row r="52" spans="1:9" ht="13.5" customHeight="1">
      <c r="A52" s="48">
        <v>32</v>
      </c>
      <c r="B52" s="48" t="s">
        <v>364</v>
      </c>
      <c r="C52" s="48">
        <v>3.3</v>
      </c>
      <c r="D52" s="48">
        <v>2500</v>
      </c>
      <c r="E52" s="48">
        <v>5000</v>
      </c>
      <c r="F52" s="48" t="s">
        <v>987</v>
      </c>
      <c r="G52" s="49"/>
      <c r="H52" s="3">
        <f>D52*'Currency-Conversion'!$C$10</f>
        <v>7659698624.999999</v>
      </c>
      <c r="I52" s="3">
        <f>E52*'Currency-Conversion'!$C$10</f>
        <v>15319397249.999998</v>
      </c>
    </row>
    <row r="53" spans="1:9" ht="13.5" customHeight="1">
      <c r="A53" s="48">
        <v>33</v>
      </c>
      <c r="B53" s="48" t="s">
        <v>365</v>
      </c>
      <c r="C53" s="48">
        <v>3.15</v>
      </c>
      <c r="D53" s="48">
        <v>2500</v>
      </c>
      <c r="E53" s="48">
        <v>5000</v>
      </c>
      <c r="F53" s="48" t="s">
        <v>988</v>
      </c>
      <c r="G53" s="49"/>
      <c r="H53" s="3">
        <f>D53*'Currency-Conversion'!$C$10</f>
        <v>7659698624.999999</v>
      </c>
      <c r="I53" s="3">
        <f>E53*'Currency-Conversion'!$C$10</f>
        <v>15319397249.999998</v>
      </c>
    </row>
    <row r="54" spans="1:9" ht="13.5" customHeight="1">
      <c r="A54" s="48">
        <v>34</v>
      </c>
      <c r="B54" s="48" t="s">
        <v>366</v>
      </c>
      <c r="C54" s="48">
        <v>3.4</v>
      </c>
      <c r="D54" s="48">
        <v>2500</v>
      </c>
      <c r="E54" s="48">
        <v>5000</v>
      </c>
      <c r="F54" s="48" t="s">
        <v>989</v>
      </c>
      <c r="G54" s="49"/>
      <c r="H54" s="3">
        <f>D54*'Currency-Conversion'!$C$10</f>
        <v>7659698624.999999</v>
      </c>
      <c r="I54" s="3">
        <f>E54*'Currency-Conversion'!$C$10</f>
        <v>15319397249.999998</v>
      </c>
    </row>
    <row r="55" spans="1:9" ht="13.5" customHeight="1">
      <c r="A55" s="48">
        <v>35</v>
      </c>
      <c r="B55" s="48" t="s">
        <v>367</v>
      </c>
      <c r="C55" s="48">
        <v>3.65</v>
      </c>
      <c r="D55" s="48">
        <v>5000</v>
      </c>
      <c r="E55" s="48">
        <v>10000</v>
      </c>
      <c r="F55" s="48" t="s">
        <v>990</v>
      </c>
      <c r="G55" s="49"/>
      <c r="H55" s="3">
        <f>D55*'Currency-Conversion'!$C$10</f>
        <v>15319397249.999998</v>
      </c>
      <c r="I55" s="3">
        <f>E55*'Currency-Conversion'!$C$10</f>
        <v>30638794499.999996</v>
      </c>
    </row>
    <row r="56" spans="1:9" ht="13.5" customHeight="1">
      <c r="A56" s="48">
        <v>36</v>
      </c>
      <c r="B56" s="48" t="s">
        <v>368</v>
      </c>
      <c r="C56" s="48">
        <v>2.9</v>
      </c>
      <c r="D56" s="48">
        <v>1000</v>
      </c>
      <c r="E56" s="48">
        <v>2500</v>
      </c>
      <c r="F56" s="48" t="s">
        <v>991</v>
      </c>
      <c r="G56" s="49"/>
      <c r="H56" s="3">
        <f>D56*'Currency-Conversion'!$C$10</f>
        <v>3063879449.9999995</v>
      </c>
      <c r="I56" s="3">
        <f>E56*'Currency-Conversion'!$C$10</f>
        <v>7659698624.999999</v>
      </c>
    </row>
    <row r="57" spans="1:9" ht="13.5" customHeight="1">
      <c r="A57" s="48">
        <v>37</v>
      </c>
      <c r="B57" s="48" t="s">
        <v>369</v>
      </c>
      <c r="C57" s="48">
        <v>2.7</v>
      </c>
      <c r="D57" s="48">
        <v>1000</v>
      </c>
      <c r="E57" s="48">
        <v>2500</v>
      </c>
      <c r="F57" s="48" t="s">
        <v>992</v>
      </c>
      <c r="G57" s="49"/>
      <c r="H57" s="3">
        <f>D57*'Currency-Conversion'!$C$10</f>
        <v>3063879449.9999995</v>
      </c>
      <c r="I57" s="3">
        <f>E57*'Currency-Conversion'!$C$10</f>
        <v>7659698624.999999</v>
      </c>
    </row>
    <row r="58" spans="1:9" ht="13.5" customHeight="1">
      <c r="A58" s="48">
        <v>38</v>
      </c>
      <c r="B58" s="48" t="s">
        <v>370</v>
      </c>
      <c r="C58" s="48">
        <v>2.85</v>
      </c>
      <c r="D58" s="48">
        <v>1000</v>
      </c>
      <c r="E58" s="48">
        <v>2500</v>
      </c>
      <c r="F58" s="48" t="s">
        <v>993</v>
      </c>
      <c r="G58" s="49"/>
      <c r="H58" s="3">
        <f>D58*'Currency-Conversion'!$C$10</f>
        <v>3063879449.9999995</v>
      </c>
      <c r="I58" s="3">
        <f>E58*'Currency-Conversion'!$C$10</f>
        <v>7659698624.999999</v>
      </c>
    </row>
    <row r="59" spans="1:9" ht="13.5" customHeight="1">
      <c r="A59" s="48">
        <v>39</v>
      </c>
      <c r="B59" s="48" t="s">
        <v>371</v>
      </c>
      <c r="C59" s="48">
        <v>3.3</v>
      </c>
      <c r="D59" s="48">
        <v>1000</v>
      </c>
      <c r="E59" s="48">
        <v>2500</v>
      </c>
      <c r="F59" s="48" t="s">
        <v>994</v>
      </c>
      <c r="G59" s="49"/>
      <c r="H59" s="3">
        <f>D59*'Currency-Conversion'!$C$10</f>
        <v>3063879449.9999995</v>
      </c>
      <c r="I59" s="3">
        <f>E59*'Currency-Conversion'!$C$10</f>
        <v>7659698624.999999</v>
      </c>
    </row>
    <row r="60" spans="1:9" ht="13.5" customHeight="1">
      <c r="A60" s="48">
        <v>40</v>
      </c>
      <c r="B60" s="48" t="s">
        <v>372</v>
      </c>
      <c r="C60" s="48">
        <v>3</v>
      </c>
      <c r="D60" s="48">
        <v>2500</v>
      </c>
      <c r="E60" s="48">
        <v>2500</v>
      </c>
      <c r="F60" s="48" t="s">
        <v>995</v>
      </c>
      <c r="G60" s="49"/>
      <c r="H60" s="3">
        <f>D60*'Currency-Conversion'!$C$10</f>
        <v>7659698624.999999</v>
      </c>
      <c r="I60" s="3">
        <f>E60*'Currency-Conversion'!$C$10</f>
        <v>7659698624.999999</v>
      </c>
    </row>
    <row r="61" spans="1:9" ht="13.5" customHeight="1">
      <c r="A61" s="48">
        <v>41</v>
      </c>
      <c r="B61" s="48" t="s">
        <v>373</v>
      </c>
      <c r="C61" s="48">
        <v>3.15</v>
      </c>
      <c r="D61" s="48">
        <v>2500</v>
      </c>
      <c r="E61" s="48">
        <v>2500</v>
      </c>
      <c r="F61" s="48" t="s">
        <v>996</v>
      </c>
      <c r="G61" s="49"/>
      <c r="H61" s="3">
        <f>D61*'Currency-Conversion'!$C$10</f>
        <v>7659698624.999999</v>
      </c>
      <c r="I61" s="3">
        <f>E61*'Currency-Conversion'!$C$10</f>
        <v>7659698624.999999</v>
      </c>
    </row>
    <row r="62" spans="1:9" ht="13.5" customHeight="1">
      <c r="A62" s="48">
        <v>42</v>
      </c>
      <c r="B62" s="48" t="s">
        <v>374</v>
      </c>
      <c r="C62" s="48">
        <v>3.6</v>
      </c>
      <c r="D62" s="48">
        <v>5000</v>
      </c>
      <c r="E62" s="48">
        <v>5000</v>
      </c>
      <c r="F62" s="48" t="s">
        <v>997</v>
      </c>
      <c r="G62" s="49"/>
      <c r="H62" s="3">
        <f>D62*'Currency-Conversion'!$C$10</f>
        <v>15319397249.999998</v>
      </c>
      <c r="I62" s="3">
        <f>E62*'Currency-Conversion'!$C$10</f>
        <v>15319397249.999998</v>
      </c>
    </row>
    <row r="63" spans="1:9" ht="13.5" customHeight="1">
      <c r="A63" s="48">
        <v>43</v>
      </c>
      <c r="B63" s="48" t="s">
        <v>375</v>
      </c>
      <c r="C63" s="48">
        <v>2.85</v>
      </c>
      <c r="D63" s="48">
        <v>2500</v>
      </c>
      <c r="E63" s="48">
        <v>2500</v>
      </c>
      <c r="F63" s="48" t="s">
        <v>998</v>
      </c>
      <c r="G63" s="49"/>
      <c r="H63" s="3">
        <f>D63*'Currency-Conversion'!$C$10</f>
        <v>7659698624.999999</v>
      </c>
      <c r="I63" s="3">
        <f>E63*'Currency-Conversion'!$C$10</f>
        <v>7659698624.999999</v>
      </c>
    </row>
    <row r="64" spans="1:9" ht="13.5" customHeight="1">
      <c r="A64" s="48">
        <v>44</v>
      </c>
      <c r="B64" s="48" t="s">
        <v>376</v>
      </c>
      <c r="C64" s="48">
        <v>3.3</v>
      </c>
      <c r="D64" s="48">
        <v>5000</v>
      </c>
      <c r="E64" s="48">
        <v>5000</v>
      </c>
      <c r="F64" s="48" t="s">
        <v>999</v>
      </c>
      <c r="G64" s="49"/>
      <c r="H64" s="3">
        <f>D64*'Currency-Conversion'!$C$10</f>
        <v>15319397249.999998</v>
      </c>
      <c r="I64" s="3">
        <f>E64*'Currency-Conversion'!$C$10</f>
        <v>15319397249.999998</v>
      </c>
    </row>
    <row r="65" spans="1:9" ht="13.5" customHeight="1">
      <c r="A65" s="48">
        <v>45</v>
      </c>
      <c r="B65" s="48" t="s">
        <v>377</v>
      </c>
      <c r="C65" s="48">
        <v>3</v>
      </c>
      <c r="D65" s="48">
        <v>2500</v>
      </c>
      <c r="E65" s="48">
        <v>5000</v>
      </c>
      <c r="F65" s="48" t="s">
        <v>1000</v>
      </c>
      <c r="G65" s="49"/>
      <c r="H65" s="3">
        <f>D65*'Currency-Conversion'!$C$10</f>
        <v>7659698624.999999</v>
      </c>
      <c r="I65" s="3">
        <f>E65*'Currency-Conversion'!$C$10</f>
        <v>15319397249.999998</v>
      </c>
    </row>
    <row r="66" spans="1:9" ht="13.5" customHeight="1">
      <c r="A66" s="48">
        <v>46</v>
      </c>
      <c r="B66" s="48" t="s">
        <v>378</v>
      </c>
      <c r="C66" s="48">
        <v>3.6</v>
      </c>
      <c r="D66" s="48">
        <v>5000</v>
      </c>
      <c r="E66" s="48">
        <v>10000</v>
      </c>
      <c r="F66" s="48" t="s">
        <v>1001</v>
      </c>
      <c r="G66" s="49"/>
      <c r="H66" s="3">
        <f>D66*'Currency-Conversion'!$C$10</f>
        <v>15319397249.999998</v>
      </c>
      <c r="I66" s="3">
        <f>E66*'Currency-Conversion'!$C$10</f>
        <v>30638794499.999996</v>
      </c>
    </row>
    <row r="67" spans="1:9" ht="13.5" customHeight="1">
      <c r="A67" s="48">
        <v>47</v>
      </c>
      <c r="B67" s="48" t="s">
        <v>379</v>
      </c>
      <c r="C67" s="48">
        <v>4.1500000000000004</v>
      </c>
      <c r="D67" s="48">
        <v>5000</v>
      </c>
      <c r="E67" s="48">
        <v>10000</v>
      </c>
      <c r="F67" s="48" t="s">
        <v>1002</v>
      </c>
      <c r="G67" s="49"/>
      <c r="H67" s="3">
        <f>D67*'Currency-Conversion'!$C$10</f>
        <v>15319397249.999998</v>
      </c>
      <c r="I67" s="3">
        <f>E67*'Currency-Conversion'!$C$10</f>
        <v>30638794499.999996</v>
      </c>
    </row>
    <row r="68" spans="1:9" ht="13.5" customHeight="1">
      <c r="A68" s="48">
        <v>48</v>
      </c>
      <c r="B68" s="48" t="s">
        <v>380</v>
      </c>
      <c r="C68" s="48">
        <v>3.3</v>
      </c>
      <c r="D68" s="48">
        <v>1000</v>
      </c>
      <c r="E68" s="48">
        <v>2500</v>
      </c>
      <c r="F68" s="48" t="s">
        <v>1003</v>
      </c>
      <c r="G68" s="49"/>
      <c r="H68" s="3">
        <f>D68*'Currency-Conversion'!$C$10</f>
        <v>3063879449.9999995</v>
      </c>
      <c r="I68" s="3">
        <f>E68*'Currency-Conversion'!$C$10</f>
        <v>7659698624.999999</v>
      </c>
    </row>
    <row r="69" spans="1:9" ht="13.5" customHeight="1">
      <c r="A69" s="48">
        <v>49</v>
      </c>
      <c r="B69" s="48" t="s">
        <v>381</v>
      </c>
      <c r="C69" s="48">
        <v>3.1</v>
      </c>
      <c r="D69" s="48">
        <v>1000</v>
      </c>
      <c r="E69" s="48">
        <v>2500</v>
      </c>
      <c r="F69" s="48" t="s">
        <v>1004</v>
      </c>
      <c r="G69" s="49"/>
      <c r="H69" s="3">
        <f>D69*'Currency-Conversion'!$C$10</f>
        <v>3063879449.9999995</v>
      </c>
      <c r="I69" s="3">
        <f>E69*'Currency-Conversion'!$C$10</f>
        <v>7659698624.999999</v>
      </c>
    </row>
    <row r="70" spans="1:9" ht="13.5" customHeight="1">
      <c r="A70" s="48">
        <v>50</v>
      </c>
      <c r="B70" s="48" t="s">
        <v>382</v>
      </c>
      <c r="C70" s="48">
        <v>4.2</v>
      </c>
      <c r="D70" s="48">
        <v>2500</v>
      </c>
      <c r="E70" s="48">
        <v>5000</v>
      </c>
      <c r="F70" s="48" t="s">
        <v>1005</v>
      </c>
      <c r="G70" s="49"/>
      <c r="H70" s="3">
        <f>D70*'Currency-Conversion'!$C$10</f>
        <v>7659698624.999999</v>
      </c>
      <c r="I70" s="3">
        <f>E70*'Currency-Conversion'!$C$10</f>
        <v>15319397249.999998</v>
      </c>
    </row>
    <row r="71" spans="1:9" ht="13.5" customHeight="1">
      <c r="A71" s="48">
        <v>51</v>
      </c>
      <c r="B71" s="48" t="s">
        <v>383</v>
      </c>
      <c r="C71" s="48">
        <v>3.3</v>
      </c>
      <c r="D71" s="48">
        <v>1000</v>
      </c>
      <c r="E71" s="48">
        <v>2500</v>
      </c>
      <c r="F71" s="48" t="s">
        <v>1006</v>
      </c>
      <c r="G71" s="49"/>
      <c r="H71" s="3">
        <f>D71*'Currency-Conversion'!$C$10</f>
        <v>3063879449.9999995</v>
      </c>
      <c r="I71" s="3">
        <f>E71*'Currency-Conversion'!$C$10</f>
        <v>7659698624.999999</v>
      </c>
    </row>
    <row r="72" spans="1:9" ht="13.5" customHeight="1">
      <c r="A72" s="48">
        <v>52</v>
      </c>
      <c r="B72" s="48" t="s">
        <v>384</v>
      </c>
      <c r="C72" s="48">
        <v>4.3</v>
      </c>
      <c r="D72" s="48">
        <v>1000</v>
      </c>
      <c r="E72" s="48">
        <v>7500</v>
      </c>
      <c r="F72" s="48" t="s">
        <v>1007</v>
      </c>
      <c r="G72" s="49"/>
      <c r="H72" s="3">
        <f>D72*'Currency-Conversion'!$C$10</f>
        <v>3063879449.9999995</v>
      </c>
      <c r="I72" s="3">
        <f>E72*'Currency-Conversion'!$C$10</f>
        <v>22979095874.999996</v>
      </c>
    </row>
    <row r="73" spans="1:9" ht="13.5" customHeight="1">
      <c r="A73" s="48">
        <v>53</v>
      </c>
      <c r="B73" s="48" t="s">
        <v>385</v>
      </c>
      <c r="C73" s="48">
        <v>4.05</v>
      </c>
      <c r="D73" s="48">
        <v>2500</v>
      </c>
      <c r="E73" s="48">
        <v>5000</v>
      </c>
      <c r="F73" s="48" t="s">
        <v>1008</v>
      </c>
      <c r="G73" s="49"/>
      <c r="H73" s="3">
        <f>D73*'Currency-Conversion'!$C$10</f>
        <v>7659698624.999999</v>
      </c>
      <c r="I73" s="3">
        <f>E73*'Currency-Conversion'!$C$10</f>
        <v>15319397249.999998</v>
      </c>
    </row>
    <row r="74" spans="1:9" ht="13.5" customHeight="1">
      <c r="A74" s="48">
        <v>54</v>
      </c>
      <c r="B74" s="48" t="s">
        <v>386</v>
      </c>
      <c r="C74" s="48">
        <v>2.75</v>
      </c>
      <c r="D74" s="48">
        <v>1000</v>
      </c>
      <c r="E74" s="48">
        <v>2000</v>
      </c>
      <c r="F74" s="48" t="s">
        <v>1009</v>
      </c>
      <c r="G74" s="49"/>
      <c r="H74" s="3">
        <f>D74*'Currency-Conversion'!$C$10</f>
        <v>3063879449.9999995</v>
      </c>
      <c r="I74" s="3">
        <f>E74*'Currency-Conversion'!$C$10</f>
        <v>6127758899.999999</v>
      </c>
    </row>
    <row r="75" spans="1:9" ht="13.5" customHeight="1">
      <c r="A75" s="48">
        <v>55</v>
      </c>
      <c r="B75" s="48" t="s">
        <v>387</v>
      </c>
      <c r="C75" s="48">
        <v>2.75</v>
      </c>
      <c r="D75" s="48">
        <v>1000</v>
      </c>
      <c r="E75" s="48">
        <v>2000</v>
      </c>
      <c r="F75" s="48" t="s">
        <v>1010</v>
      </c>
      <c r="G75" s="49"/>
      <c r="H75" s="3">
        <f>D75*'Currency-Conversion'!$C$10</f>
        <v>3063879449.9999995</v>
      </c>
      <c r="I75" s="3">
        <f>E75*'Currency-Conversion'!$C$10</f>
        <v>6127758899.999999</v>
      </c>
    </row>
    <row r="76" spans="1:9" ht="13.5" customHeight="1">
      <c r="A76" s="48">
        <v>56</v>
      </c>
      <c r="B76" s="48" t="s">
        <v>388</v>
      </c>
      <c r="C76" s="48">
        <v>3.3</v>
      </c>
      <c r="D76" s="48">
        <v>1000</v>
      </c>
      <c r="E76" s="48">
        <v>2000</v>
      </c>
      <c r="F76" s="48" t="s">
        <v>1011</v>
      </c>
      <c r="G76" s="49"/>
      <c r="H76" s="3">
        <f>D76*'Currency-Conversion'!$C$10</f>
        <v>3063879449.9999995</v>
      </c>
      <c r="I76" s="3">
        <f>E76*'Currency-Conversion'!$C$10</f>
        <v>6127758899.999999</v>
      </c>
    </row>
    <row r="77" spans="1:9" ht="13.5" customHeight="1">
      <c r="A77" s="48">
        <v>57</v>
      </c>
      <c r="B77" s="48" t="s">
        <v>389</v>
      </c>
      <c r="C77" s="48">
        <v>4.4000000000000004</v>
      </c>
      <c r="D77" s="48">
        <v>1000</v>
      </c>
      <c r="E77" s="48">
        <v>2000</v>
      </c>
      <c r="F77" s="48" t="s">
        <v>1012</v>
      </c>
      <c r="G77" s="49"/>
      <c r="H77" s="3">
        <f>D77*'Currency-Conversion'!$C$10</f>
        <v>3063879449.9999995</v>
      </c>
      <c r="I77" s="3">
        <f>E77*'Currency-Conversion'!$C$10</f>
        <v>6127758899.999999</v>
      </c>
    </row>
    <row r="78" spans="1:9" ht="13.5" customHeight="1">
      <c r="A78" s="48">
        <v>58</v>
      </c>
      <c r="B78" s="48" t="s">
        <v>390</v>
      </c>
      <c r="C78" s="48">
        <v>4.05</v>
      </c>
      <c r="D78" s="48">
        <v>2500</v>
      </c>
      <c r="E78" s="48">
        <v>5000</v>
      </c>
      <c r="F78" s="48" t="s">
        <v>1013</v>
      </c>
      <c r="G78" s="49"/>
      <c r="H78" s="3">
        <f>D78*'Currency-Conversion'!$C$10</f>
        <v>7659698624.999999</v>
      </c>
      <c r="I78" s="3">
        <f>E78*'Currency-Conversion'!$C$10</f>
        <v>15319397249.999998</v>
      </c>
    </row>
    <row r="79" spans="1:9" ht="13.5" customHeight="1">
      <c r="A79" s="48">
        <v>59</v>
      </c>
      <c r="B79" s="48" t="s">
        <v>391</v>
      </c>
      <c r="C79" s="48">
        <v>4.95</v>
      </c>
      <c r="D79" s="48">
        <v>2500</v>
      </c>
      <c r="E79" s="48">
        <v>10000</v>
      </c>
      <c r="F79" s="48" t="s">
        <v>1014</v>
      </c>
      <c r="G79" s="49"/>
      <c r="H79" s="3">
        <f>D79*'Currency-Conversion'!$C$10</f>
        <v>7659698624.999999</v>
      </c>
      <c r="I79" s="3">
        <f>E79*'Currency-Conversion'!$C$10</f>
        <v>30638794499.999996</v>
      </c>
    </row>
    <row r="80" spans="1:9" ht="13.5" customHeight="1">
      <c r="A80" s="48">
        <v>60</v>
      </c>
      <c r="B80" s="48" t="s">
        <v>392</v>
      </c>
      <c r="C80" s="48">
        <v>5.5</v>
      </c>
      <c r="D80" s="48">
        <v>2500</v>
      </c>
      <c r="E80" s="48">
        <v>15000</v>
      </c>
      <c r="F80" s="48" t="s">
        <v>1015</v>
      </c>
      <c r="G80" s="49"/>
      <c r="H80" s="3">
        <f>D80*'Currency-Conversion'!$C$10</f>
        <v>7659698624.999999</v>
      </c>
      <c r="I80" s="3">
        <f>E80*'Currency-Conversion'!$C$10</f>
        <v>45958191749.999992</v>
      </c>
    </row>
    <row r="81" spans="1:9" ht="13.5" customHeight="1">
      <c r="A81" s="48">
        <v>61</v>
      </c>
      <c r="B81" s="48" t="s">
        <v>393</v>
      </c>
      <c r="C81" s="48">
        <v>5.05</v>
      </c>
      <c r="D81" s="48">
        <v>2500</v>
      </c>
      <c r="E81" s="48">
        <v>10000</v>
      </c>
      <c r="F81" s="48" t="s">
        <v>1016</v>
      </c>
      <c r="G81" s="49"/>
      <c r="H81" s="3">
        <f>D81*'Currency-Conversion'!$C$10</f>
        <v>7659698624.999999</v>
      </c>
      <c r="I81" s="3">
        <f>E81*'Currency-Conversion'!$C$10</f>
        <v>30638794499.999996</v>
      </c>
    </row>
    <row r="82" spans="1:9" ht="13.5" customHeight="1">
      <c r="A82" s="48">
        <v>62</v>
      </c>
      <c r="B82" s="48" t="s">
        <v>394</v>
      </c>
      <c r="C82" s="48">
        <v>5.75</v>
      </c>
      <c r="D82" s="48">
        <v>2500</v>
      </c>
      <c r="E82" s="48">
        <v>15000</v>
      </c>
      <c r="F82" s="48" t="s">
        <v>1017</v>
      </c>
      <c r="G82" s="49"/>
      <c r="H82" s="3">
        <f>D82*'Currency-Conversion'!$C$10</f>
        <v>7659698624.999999</v>
      </c>
      <c r="I82" s="3">
        <f>E82*'Currency-Conversion'!$C$10</f>
        <v>45958191749.999992</v>
      </c>
    </row>
    <row r="83" spans="1:9" ht="13.5" customHeight="1">
      <c r="A83" s="48">
        <v>63</v>
      </c>
      <c r="B83" s="48" t="s">
        <v>395</v>
      </c>
      <c r="C83" s="48">
        <v>4.95</v>
      </c>
      <c r="D83" s="48">
        <v>2500</v>
      </c>
      <c r="E83" s="48">
        <v>5000</v>
      </c>
      <c r="F83" s="48" t="s">
        <v>1018</v>
      </c>
      <c r="G83" s="49"/>
      <c r="H83" s="3">
        <f>D83*'Currency-Conversion'!$C$10</f>
        <v>7659698624.999999</v>
      </c>
      <c r="I83" s="3">
        <f>E83*'Currency-Conversion'!$C$10</f>
        <v>15319397249.999998</v>
      </c>
    </row>
    <row r="84" spans="1:9" ht="13.5" customHeight="1">
      <c r="A84" s="48">
        <v>64</v>
      </c>
      <c r="B84" s="48" t="s">
        <v>396</v>
      </c>
      <c r="C84" s="48">
        <v>3.85</v>
      </c>
      <c r="D84" s="48">
        <v>1000</v>
      </c>
      <c r="E84" s="48">
        <v>2000</v>
      </c>
      <c r="F84" s="48" t="s">
        <v>1019</v>
      </c>
      <c r="G84" s="49"/>
      <c r="H84" s="3">
        <f>D84*'Currency-Conversion'!$C$10</f>
        <v>3063879449.9999995</v>
      </c>
      <c r="I84" s="3">
        <f>E84*'Currency-Conversion'!$C$10</f>
        <v>6127758899.999999</v>
      </c>
    </row>
    <row r="85" spans="1:9" ht="13.5" customHeight="1">
      <c r="A85" s="48">
        <v>65</v>
      </c>
      <c r="B85" s="48" t="s">
        <v>397</v>
      </c>
      <c r="C85" s="48">
        <v>3.3</v>
      </c>
      <c r="D85" s="48">
        <v>1000</v>
      </c>
      <c r="E85" s="48">
        <v>2000</v>
      </c>
      <c r="F85" s="48" t="s">
        <v>1020</v>
      </c>
      <c r="G85" s="49"/>
      <c r="H85" s="3">
        <f>D85*'Currency-Conversion'!$C$10</f>
        <v>3063879449.9999995</v>
      </c>
      <c r="I85" s="3">
        <f>E85*'Currency-Conversion'!$C$10</f>
        <v>6127758899.999999</v>
      </c>
    </row>
    <row r="86" spans="1:9" ht="13.5" customHeight="1">
      <c r="A86" s="48">
        <v>66</v>
      </c>
      <c r="B86" s="48" t="s">
        <v>398</v>
      </c>
      <c r="C86" s="48">
        <v>3.85</v>
      </c>
      <c r="D86" s="48">
        <v>1000</v>
      </c>
      <c r="E86" s="48">
        <v>2000</v>
      </c>
      <c r="F86" s="48" t="s">
        <v>1021</v>
      </c>
      <c r="G86" s="49"/>
      <c r="H86" s="3">
        <f>D86*'Currency-Conversion'!$C$10</f>
        <v>3063879449.9999995</v>
      </c>
      <c r="I86" s="3">
        <f>E86*'Currency-Conversion'!$C$10</f>
        <v>6127758899.999999</v>
      </c>
    </row>
    <row r="87" spans="1:9" ht="13.5" customHeight="1">
      <c r="A87" s="48">
        <v>67</v>
      </c>
      <c r="B87" s="48" t="s">
        <v>399</v>
      </c>
      <c r="C87" s="48">
        <v>3.3</v>
      </c>
      <c r="D87" s="48">
        <v>1000</v>
      </c>
      <c r="E87" s="48">
        <v>2000</v>
      </c>
      <c r="F87" s="48" t="s">
        <v>1022</v>
      </c>
      <c r="G87" s="49"/>
      <c r="H87" s="3">
        <f>D87*'Currency-Conversion'!$C$10</f>
        <v>3063879449.9999995</v>
      </c>
      <c r="I87" s="3">
        <f>E87*'Currency-Conversion'!$C$10</f>
        <v>6127758899.999999</v>
      </c>
    </row>
    <row r="88" spans="1:9" ht="13.5" customHeight="1">
      <c r="A88" s="48">
        <v>68</v>
      </c>
      <c r="B88" s="48" t="s">
        <v>400</v>
      </c>
      <c r="C88" s="48">
        <v>3</v>
      </c>
      <c r="D88" s="48">
        <v>1000</v>
      </c>
      <c r="E88" s="48">
        <v>2000</v>
      </c>
      <c r="F88" s="48" t="s">
        <v>1023</v>
      </c>
      <c r="G88" s="49"/>
      <c r="H88" s="3">
        <f>D88*'Currency-Conversion'!$C$10</f>
        <v>3063879449.9999995</v>
      </c>
      <c r="I88" s="3">
        <f>E88*'Currency-Conversion'!$C$10</f>
        <v>6127758899.999999</v>
      </c>
    </row>
    <row r="89" spans="1:9" ht="13.5" customHeight="1">
      <c r="A89" s="48">
        <v>69</v>
      </c>
      <c r="B89" s="48" t="s">
        <v>401</v>
      </c>
      <c r="C89" s="48">
        <v>3.3</v>
      </c>
      <c r="D89" s="48">
        <v>1000</v>
      </c>
      <c r="E89" s="48">
        <v>2000</v>
      </c>
      <c r="F89" s="48" t="s">
        <v>1024</v>
      </c>
      <c r="G89" s="49"/>
      <c r="H89" s="3">
        <f>D89*'Currency-Conversion'!$C$10</f>
        <v>3063879449.9999995</v>
      </c>
      <c r="I89" s="3">
        <f>E89*'Currency-Conversion'!$C$10</f>
        <v>6127758899.999999</v>
      </c>
    </row>
    <row r="90" spans="1:9" ht="13.5" customHeight="1">
      <c r="A90" s="48">
        <v>70</v>
      </c>
      <c r="B90" s="48" t="s">
        <v>402</v>
      </c>
      <c r="C90" s="48">
        <v>4.95</v>
      </c>
      <c r="D90" s="48">
        <v>5000</v>
      </c>
      <c r="E90" s="48">
        <v>10000</v>
      </c>
      <c r="F90" s="48" t="s">
        <v>1025</v>
      </c>
      <c r="G90" s="49"/>
      <c r="H90" s="3">
        <f>D90*'Currency-Conversion'!$C$10</f>
        <v>15319397249.999998</v>
      </c>
      <c r="I90" s="3">
        <f>E90*'Currency-Conversion'!$C$10</f>
        <v>30638794499.999996</v>
      </c>
    </row>
    <row r="91" spans="1:9" ht="13.5" customHeight="1">
      <c r="A91" s="48">
        <v>71</v>
      </c>
      <c r="B91" s="48" t="s">
        <v>403</v>
      </c>
      <c r="C91" s="48">
        <v>5.5</v>
      </c>
      <c r="D91" s="48">
        <v>5000</v>
      </c>
      <c r="E91" s="48">
        <v>10000</v>
      </c>
      <c r="F91" s="48" t="s">
        <v>1026</v>
      </c>
      <c r="G91" s="49"/>
      <c r="H91" s="3">
        <f>D91*'Currency-Conversion'!$C$10</f>
        <v>15319397249.999998</v>
      </c>
      <c r="I91" s="3">
        <f>E91*'Currency-Conversion'!$C$10</f>
        <v>30638794499.999996</v>
      </c>
    </row>
    <row r="92" spans="1:9" ht="13.5" customHeight="1">
      <c r="A92" s="48">
        <v>72</v>
      </c>
      <c r="B92" s="48" t="s">
        <v>404</v>
      </c>
      <c r="C92" s="48">
        <v>3.3</v>
      </c>
      <c r="D92" s="48">
        <v>2500</v>
      </c>
      <c r="E92" s="48">
        <v>5000</v>
      </c>
      <c r="F92" s="48" t="s">
        <v>1027</v>
      </c>
      <c r="G92" s="49"/>
      <c r="H92" s="3">
        <f>D92*'Currency-Conversion'!$C$10</f>
        <v>7659698624.999999</v>
      </c>
      <c r="I92" s="3">
        <f>E92*'Currency-Conversion'!$C$10</f>
        <v>15319397249.999998</v>
      </c>
    </row>
    <row r="93" spans="1:9" ht="13.5" customHeight="1">
      <c r="A93" s="48">
        <v>73</v>
      </c>
      <c r="B93" s="48" t="s">
        <v>405</v>
      </c>
      <c r="C93" s="48">
        <v>3.85</v>
      </c>
      <c r="D93" s="48">
        <v>2500</v>
      </c>
      <c r="E93" s="48">
        <v>5000</v>
      </c>
      <c r="F93" s="48" t="s">
        <v>1028</v>
      </c>
      <c r="G93" s="49"/>
      <c r="H93" s="3">
        <f>D93*'Currency-Conversion'!$C$10</f>
        <v>7659698624.999999</v>
      </c>
      <c r="I93" s="3">
        <f>E93*'Currency-Conversion'!$C$10</f>
        <v>15319397249.999998</v>
      </c>
    </row>
    <row r="94" spans="1:9" ht="13.5" customHeight="1">
      <c r="A94" s="48">
        <v>74</v>
      </c>
      <c r="B94" s="48" t="s">
        <v>406</v>
      </c>
      <c r="C94" s="48">
        <v>3.85</v>
      </c>
      <c r="D94" s="48">
        <v>2500</v>
      </c>
      <c r="E94" s="48">
        <v>10000</v>
      </c>
      <c r="F94" s="48" t="s">
        <v>1029</v>
      </c>
      <c r="G94" s="49"/>
      <c r="H94" s="3">
        <f>D94*'Currency-Conversion'!$C$10</f>
        <v>7659698624.999999</v>
      </c>
      <c r="I94" s="3">
        <f>E94*'Currency-Conversion'!$C$10</f>
        <v>30638794499.999996</v>
      </c>
    </row>
    <row r="95" spans="1:9" ht="13.5" customHeight="1">
      <c r="A95" s="48">
        <v>75</v>
      </c>
      <c r="B95" s="48" t="s">
        <v>407</v>
      </c>
      <c r="C95" s="48">
        <v>4.25</v>
      </c>
      <c r="D95" s="48">
        <v>2500</v>
      </c>
      <c r="E95" s="48">
        <v>25000</v>
      </c>
      <c r="F95" s="48" t="s">
        <v>1030</v>
      </c>
      <c r="G95" s="49"/>
      <c r="H95" s="3">
        <f>D95*'Currency-Conversion'!$C$10</f>
        <v>7659698624.999999</v>
      </c>
      <c r="I95" s="3">
        <f>E95*'Currency-Conversion'!$C$10</f>
        <v>76596986250</v>
      </c>
    </row>
    <row r="96" spans="1:9" ht="13.5" customHeight="1">
      <c r="A96" s="48">
        <v>76</v>
      </c>
      <c r="B96" s="48" t="s">
        <v>408</v>
      </c>
      <c r="C96" s="48">
        <v>3.6</v>
      </c>
      <c r="D96" s="48">
        <v>2500</v>
      </c>
      <c r="E96" s="48">
        <v>10000</v>
      </c>
      <c r="F96" s="48" t="s">
        <v>1031</v>
      </c>
      <c r="G96" s="49"/>
      <c r="H96" s="3">
        <f>D96*'Currency-Conversion'!$C$10</f>
        <v>7659698624.999999</v>
      </c>
      <c r="I96" s="3">
        <f>E96*'Currency-Conversion'!$C$10</f>
        <v>30638794499.999996</v>
      </c>
    </row>
    <row r="97" spans="1:9" ht="13.5" customHeight="1">
      <c r="A97" s="48">
        <v>77</v>
      </c>
      <c r="B97" s="48" t="s">
        <v>409</v>
      </c>
      <c r="C97" s="48">
        <v>3.6</v>
      </c>
      <c r="D97" s="48">
        <v>2500</v>
      </c>
      <c r="E97" s="48">
        <v>10000</v>
      </c>
      <c r="F97" s="48" t="s">
        <v>1032</v>
      </c>
      <c r="G97" s="49"/>
      <c r="H97" s="3">
        <f>D97*'Currency-Conversion'!$C$10</f>
        <v>7659698624.999999</v>
      </c>
      <c r="I97" s="3">
        <f>E97*'Currency-Conversion'!$C$10</f>
        <v>30638794499.999996</v>
      </c>
    </row>
    <row r="98" spans="1:9" ht="13.5" customHeight="1">
      <c r="A98" s="48">
        <v>78</v>
      </c>
      <c r="B98" s="48" t="s">
        <v>410</v>
      </c>
      <c r="C98" s="48">
        <v>3.3</v>
      </c>
      <c r="D98" s="48">
        <v>2500</v>
      </c>
      <c r="E98" s="48">
        <v>5000</v>
      </c>
      <c r="F98" s="48" t="s">
        <v>1033</v>
      </c>
      <c r="G98" s="49"/>
      <c r="H98" s="3">
        <f>D98*'Currency-Conversion'!$C$10</f>
        <v>7659698624.999999</v>
      </c>
      <c r="I98" s="3">
        <f>E98*'Currency-Conversion'!$C$10</f>
        <v>15319397249.999998</v>
      </c>
    </row>
    <row r="99" spans="1:9" ht="13.5" customHeight="1">
      <c r="A99" s="48">
        <v>79</v>
      </c>
      <c r="B99" s="48" t="s">
        <v>411</v>
      </c>
      <c r="C99" s="48">
        <v>3.85</v>
      </c>
      <c r="D99" s="48">
        <v>2500</v>
      </c>
      <c r="E99" s="48">
        <v>10000</v>
      </c>
      <c r="F99" s="48" t="s">
        <v>1034</v>
      </c>
      <c r="G99" s="49"/>
      <c r="H99" s="3">
        <f>D99*'Currency-Conversion'!$C$10</f>
        <v>7659698624.999999</v>
      </c>
      <c r="I99" s="3">
        <f>E99*'Currency-Conversion'!$C$10</f>
        <v>30638794499.999996</v>
      </c>
    </row>
    <row r="100" spans="1:9" ht="13.5" customHeight="1">
      <c r="A100" s="48">
        <v>80</v>
      </c>
      <c r="B100" s="48" t="s">
        <v>412</v>
      </c>
      <c r="C100" s="48">
        <v>4.3</v>
      </c>
      <c r="D100" s="48">
        <v>2500</v>
      </c>
      <c r="E100" s="48">
        <v>10000</v>
      </c>
      <c r="F100" s="48" t="s">
        <v>1035</v>
      </c>
      <c r="G100" s="49"/>
      <c r="H100" s="3">
        <f>D100*'Currency-Conversion'!$C$10</f>
        <v>7659698624.999999</v>
      </c>
      <c r="I100" s="3">
        <f>E100*'Currency-Conversion'!$C$10</f>
        <v>30638794499.999996</v>
      </c>
    </row>
    <row r="101" spans="1:9" ht="13.5" customHeight="1">
      <c r="A101" s="48">
        <v>81</v>
      </c>
      <c r="B101" s="48" t="s">
        <v>413</v>
      </c>
      <c r="C101" s="48">
        <v>3.65</v>
      </c>
      <c r="D101" s="48">
        <v>2500</v>
      </c>
      <c r="E101" s="48">
        <v>10000</v>
      </c>
      <c r="F101" s="48" t="s">
        <v>1036</v>
      </c>
      <c r="G101" s="49"/>
      <c r="H101" s="3">
        <f>D101*'Currency-Conversion'!$C$10</f>
        <v>7659698624.999999</v>
      </c>
      <c r="I101" s="3">
        <f>E101*'Currency-Conversion'!$C$10</f>
        <v>30638794499.999996</v>
      </c>
    </row>
    <row r="102" spans="1:9" ht="13.5" customHeight="1">
      <c r="A102" s="48">
        <v>82</v>
      </c>
      <c r="B102" s="48" t="s">
        <v>414</v>
      </c>
      <c r="C102" s="48">
        <v>3.65</v>
      </c>
      <c r="D102" s="48">
        <v>2500</v>
      </c>
      <c r="E102" s="48">
        <v>10000</v>
      </c>
      <c r="F102" s="48" t="s">
        <v>1037</v>
      </c>
      <c r="G102" s="49"/>
      <c r="H102" s="3">
        <f>D102*'Currency-Conversion'!$C$10</f>
        <v>7659698624.999999</v>
      </c>
      <c r="I102" s="3">
        <f>E102*'Currency-Conversion'!$C$10</f>
        <v>30638794499.999996</v>
      </c>
    </row>
    <row r="103" spans="1:9" ht="13.5" customHeight="1">
      <c r="A103" s="48">
        <v>83</v>
      </c>
      <c r="B103" s="48" t="s">
        <v>415</v>
      </c>
      <c r="C103" s="48">
        <v>3.3</v>
      </c>
      <c r="D103" s="48">
        <v>2500</v>
      </c>
      <c r="E103" s="48">
        <v>5000</v>
      </c>
      <c r="F103" s="48" t="s">
        <v>1038</v>
      </c>
      <c r="G103" s="49"/>
      <c r="H103" s="3">
        <f>D103*'Currency-Conversion'!$C$10</f>
        <v>7659698624.999999</v>
      </c>
      <c r="I103" s="3">
        <f>E103*'Currency-Conversion'!$C$10</f>
        <v>15319397249.999998</v>
      </c>
    </row>
    <row r="104" spans="1:9" ht="13.5" customHeight="1">
      <c r="A104" s="48">
        <v>84</v>
      </c>
      <c r="B104" s="48" t="s">
        <v>416</v>
      </c>
      <c r="C104" s="48">
        <v>3.1</v>
      </c>
      <c r="D104" s="48">
        <v>2500</v>
      </c>
      <c r="E104" s="48">
        <v>5000</v>
      </c>
      <c r="F104" s="48" t="s">
        <v>1039</v>
      </c>
      <c r="G104" s="49"/>
      <c r="H104" s="3">
        <f>D104*'Currency-Conversion'!$C$10</f>
        <v>7659698624.999999</v>
      </c>
      <c r="I104" s="3">
        <f>E104*'Currency-Conversion'!$C$10</f>
        <v>15319397249.999998</v>
      </c>
    </row>
    <row r="105" spans="1:9" ht="13.5" customHeight="1">
      <c r="A105" s="48">
        <v>85</v>
      </c>
      <c r="B105" s="48" t="s">
        <v>417</v>
      </c>
      <c r="C105" s="48">
        <v>3.5</v>
      </c>
      <c r="D105" s="48">
        <v>2500</v>
      </c>
      <c r="E105" s="48">
        <v>5000</v>
      </c>
      <c r="F105" s="48" t="s">
        <v>1040</v>
      </c>
      <c r="G105" s="49"/>
      <c r="H105" s="3">
        <f>D105*'Currency-Conversion'!$C$10</f>
        <v>7659698624.999999</v>
      </c>
      <c r="I105" s="3">
        <f>E105*'Currency-Conversion'!$C$10</f>
        <v>15319397249.999998</v>
      </c>
    </row>
    <row r="106" spans="1:9" ht="13.5" customHeight="1">
      <c r="A106" s="48">
        <v>86</v>
      </c>
      <c r="B106" s="48" t="s">
        <v>418</v>
      </c>
      <c r="C106" s="48">
        <v>3.4</v>
      </c>
      <c r="D106" s="48">
        <v>2500</v>
      </c>
      <c r="E106" s="48">
        <v>12500</v>
      </c>
      <c r="F106" s="48" t="s">
        <v>1041</v>
      </c>
      <c r="G106" s="49"/>
      <c r="H106" s="3">
        <f>D106*'Currency-Conversion'!$C$10</f>
        <v>7659698624.999999</v>
      </c>
      <c r="I106" s="3">
        <f>E106*'Currency-Conversion'!$C$10</f>
        <v>38298493125</v>
      </c>
    </row>
    <row r="107" spans="1:9" ht="13.5" customHeight="1">
      <c r="A107" s="48">
        <v>87</v>
      </c>
      <c r="B107" s="48" t="s">
        <v>419</v>
      </c>
      <c r="C107" s="48">
        <v>3.1</v>
      </c>
      <c r="D107" s="48">
        <v>1000</v>
      </c>
      <c r="E107" s="48">
        <v>2500</v>
      </c>
      <c r="F107" s="48" t="s">
        <v>1042</v>
      </c>
      <c r="G107" s="49"/>
      <c r="H107" s="3">
        <f>D107*'Currency-Conversion'!$C$10</f>
        <v>3063879449.9999995</v>
      </c>
      <c r="I107" s="3">
        <f>E107*'Currency-Conversion'!$C$10</f>
        <v>7659698624.999999</v>
      </c>
    </row>
    <row r="108" spans="1:9" ht="13.5" customHeight="1">
      <c r="A108" s="48">
        <v>88</v>
      </c>
      <c r="B108" s="48" t="s">
        <v>420</v>
      </c>
      <c r="C108" s="48">
        <v>3.5</v>
      </c>
      <c r="D108" s="48">
        <v>5000</v>
      </c>
      <c r="E108" s="48">
        <v>5000</v>
      </c>
      <c r="F108" s="48" t="s">
        <v>1043</v>
      </c>
      <c r="G108" s="49"/>
      <c r="H108" s="3">
        <f>D108*'Currency-Conversion'!$C$10</f>
        <v>15319397249.999998</v>
      </c>
      <c r="I108" s="3">
        <f>E108*'Currency-Conversion'!$C$10</f>
        <v>15319397249.999998</v>
      </c>
    </row>
    <row r="109" spans="1:9" ht="13.5" customHeight="1">
      <c r="A109" s="48">
        <v>89</v>
      </c>
      <c r="B109" s="48" t="s">
        <v>421</v>
      </c>
      <c r="C109" s="48">
        <v>4.95</v>
      </c>
      <c r="D109" s="48">
        <v>2500</v>
      </c>
      <c r="E109" s="48">
        <v>10000</v>
      </c>
      <c r="F109" s="48" t="s">
        <v>1044</v>
      </c>
      <c r="G109" s="49"/>
      <c r="H109" s="3">
        <f>D109*'Currency-Conversion'!$C$10</f>
        <v>7659698624.999999</v>
      </c>
      <c r="I109" s="3">
        <f>E109*'Currency-Conversion'!$C$10</f>
        <v>30638794499.999996</v>
      </c>
    </row>
    <row r="110" spans="1:9" ht="13.5" customHeight="1">
      <c r="A110" s="48">
        <v>90</v>
      </c>
      <c r="B110" s="48" t="s">
        <v>422</v>
      </c>
      <c r="C110" s="48">
        <v>4.5999999999999996</v>
      </c>
      <c r="D110" s="48">
        <v>2500</v>
      </c>
      <c r="E110" s="48">
        <v>10000</v>
      </c>
      <c r="F110" s="48" t="s">
        <v>1045</v>
      </c>
      <c r="G110" s="49"/>
      <c r="H110" s="3">
        <f>D110*'Currency-Conversion'!$C$10</f>
        <v>7659698624.999999</v>
      </c>
      <c r="I110" s="3">
        <f>E110*'Currency-Conversion'!$C$10</f>
        <v>30638794499.999996</v>
      </c>
    </row>
    <row r="111" spans="1:9" ht="13.5" customHeight="1">
      <c r="A111" s="48">
        <v>91</v>
      </c>
      <c r="B111" s="48" t="s">
        <v>423</v>
      </c>
      <c r="C111" s="48">
        <v>3.85</v>
      </c>
      <c r="D111" s="48">
        <v>2500</v>
      </c>
      <c r="E111" s="48">
        <v>5000</v>
      </c>
      <c r="F111" s="48" t="s">
        <v>1046</v>
      </c>
      <c r="G111" s="49"/>
      <c r="H111" s="3">
        <f>D111*'Currency-Conversion'!$C$10</f>
        <v>7659698624.999999</v>
      </c>
      <c r="I111" s="3">
        <f>E111*'Currency-Conversion'!$C$10</f>
        <v>15319397249.999998</v>
      </c>
    </row>
    <row r="112" spans="1:9" ht="13.5" customHeight="1">
      <c r="A112" s="48">
        <v>92</v>
      </c>
      <c r="B112" s="48" t="s">
        <v>424</v>
      </c>
      <c r="C112" s="48">
        <v>4.4000000000000004</v>
      </c>
      <c r="D112" s="48">
        <v>5000</v>
      </c>
      <c r="E112" s="48">
        <v>20000</v>
      </c>
      <c r="F112" s="48" t="s">
        <v>1047</v>
      </c>
      <c r="G112" s="49"/>
      <c r="H112" s="3">
        <f>D112*'Currency-Conversion'!$C$10</f>
        <v>15319397249.999998</v>
      </c>
      <c r="I112" s="3">
        <f>E112*'Currency-Conversion'!$C$10</f>
        <v>61277588999.999992</v>
      </c>
    </row>
    <row r="113" spans="1:9" ht="13.5" customHeight="1">
      <c r="A113" s="48">
        <v>93</v>
      </c>
      <c r="B113" s="48" t="s">
        <v>425</v>
      </c>
      <c r="C113" s="48">
        <v>3.85</v>
      </c>
      <c r="D113" s="48">
        <v>2500</v>
      </c>
      <c r="E113" s="48">
        <v>10000</v>
      </c>
      <c r="F113" s="48" t="s">
        <v>1048</v>
      </c>
      <c r="G113" s="49"/>
      <c r="H113" s="3">
        <f>D113*'Currency-Conversion'!$C$10</f>
        <v>7659698624.999999</v>
      </c>
      <c r="I113" s="3">
        <f>E113*'Currency-Conversion'!$C$10</f>
        <v>30638794499.999996</v>
      </c>
    </row>
    <row r="114" spans="1:9" ht="13.5" customHeight="1">
      <c r="A114" s="48">
        <v>94</v>
      </c>
      <c r="B114" s="48" t="s">
        <v>426</v>
      </c>
      <c r="C114" s="48">
        <v>3.85</v>
      </c>
      <c r="D114" s="48">
        <v>2500</v>
      </c>
      <c r="E114" s="48">
        <v>5000</v>
      </c>
      <c r="F114" s="48" t="s">
        <v>1049</v>
      </c>
      <c r="G114" s="49"/>
      <c r="H114" s="3">
        <f>D114*'Currency-Conversion'!$C$10</f>
        <v>7659698624.999999</v>
      </c>
      <c r="I114" s="3">
        <f>E114*'Currency-Conversion'!$C$10</f>
        <v>15319397249.999998</v>
      </c>
    </row>
    <row r="115" spans="1:9" ht="13.5" customHeight="1">
      <c r="A115" s="48">
        <v>95</v>
      </c>
      <c r="B115" s="48" t="s">
        <v>427</v>
      </c>
      <c r="C115" s="48">
        <v>3.3</v>
      </c>
      <c r="D115" s="48">
        <v>2500</v>
      </c>
      <c r="E115" s="48">
        <v>5000</v>
      </c>
      <c r="F115" s="48" t="s">
        <v>1050</v>
      </c>
      <c r="G115" s="49"/>
      <c r="H115" s="3">
        <f>D115*'Currency-Conversion'!$C$10</f>
        <v>7659698624.999999</v>
      </c>
      <c r="I115" s="3">
        <f>E115*'Currency-Conversion'!$C$10</f>
        <v>15319397249.999998</v>
      </c>
    </row>
    <row r="116" spans="1:9" ht="13.5" customHeight="1">
      <c r="A116" s="48">
        <v>96</v>
      </c>
      <c r="B116" s="48" t="s">
        <v>428</v>
      </c>
      <c r="C116" s="48">
        <v>3.1</v>
      </c>
      <c r="D116" s="48">
        <v>2500</v>
      </c>
      <c r="E116" s="48">
        <v>5000</v>
      </c>
      <c r="F116" s="48" t="s">
        <v>1051</v>
      </c>
      <c r="G116" s="49"/>
      <c r="H116" s="3">
        <f>D116*'Currency-Conversion'!$C$10</f>
        <v>7659698624.999999</v>
      </c>
      <c r="I116" s="3">
        <f>E116*'Currency-Conversion'!$C$10</f>
        <v>15319397249.999998</v>
      </c>
    </row>
    <row r="117" spans="1:9" ht="13.5" customHeight="1">
      <c r="A117" s="48">
        <v>97</v>
      </c>
      <c r="B117" s="48" t="s">
        <v>429</v>
      </c>
      <c r="C117" s="48">
        <v>2.75</v>
      </c>
      <c r="D117" s="48">
        <v>1000</v>
      </c>
      <c r="E117" s="48">
        <v>2000</v>
      </c>
      <c r="F117" s="48" t="s">
        <v>1052</v>
      </c>
      <c r="G117" s="49"/>
      <c r="H117" s="3">
        <f>D117*'Currency-Conversion'!$C$10</f>
        <v>3063879449.9999995</v>
      </c>
      <c r="I117" s="3">
        <f>E117*'Currency-Conversion'!$C$10</f>
        <v>6127758899.999999</v>
      </c>
    </row>
    <row r="118" spans="1:9" ht="13.5" customHeight="1">
      <c r="A118" s="48">
        <v>98</v>
      </c>
      <c r="B118" s="48" t="s">
        <v>430</v>
      </c>
      <c r="C118" s="48">
        <v>3.3</v>
      </c>
      <c r="D118" s="48">
        <v>1000</v>
      </c>
      <c r="E118" s="48">
        <v>2000</v>
      </c>
      <c r="F118" s="48" t="s">
        <v>1053</v>
      </c>
      <c r="G118" s="49"/>
      <c r="H118" s="3">
        <f>D118*'Currency-Conversion'!$C$10</f>
        <v>3063879449.9999995</v>
      </c>
      <c r="I118" s="3">
        <f>E118*'Currency-Conversion'!$C$10</f>
        <v>6127758899.999999</v>
      </c>
    </row>
    <row r="119" spans="1:9" ht="13.5" customHeight="1">
      <c r="A119" s="48">
        <v>99</v>
      </c>
      <c r="B119" s="48" t="s">
        <v>431</v>
      </c>
      <c r="C119" s="48">
        <v>3.3</v>
      </c>
      <c r="D119" s="48">
        <v>2500</v>
      </c>
      <c r="E119" s="48">
        <v>5000</v>
      </c>
      <c r="F119" s="48" t="s">
        <v>1054</v>
      </c>
      <c r="G119" s="49"/>
      <c r="H119" s="3">
        <f>D119*'Currency-Conversion'!$C$10</f>
        <v>7659698624.999999</v>
      </c>
      <c r="I119" s="3">
        <f>E119*'Currency-Conversion'!$C$10</f>
        <v>15319397249.999998</v>
      </c>
    </row>
    <row r="120" spans="1:9" ht="13.5" customHeight="1">
      <c r="A120" s="48">
        <v>100</v>
      </c>
      <c r="B120" s="48" t="s">
        <v>432</v>
      </c>
      <c r="C120" s="48">
        <v>3.3</v>
      </c>
      <c r="D120" s="48">
        <v>2500</v>
      </c>
      <c r="E120" s="48">
        <v>10000</v>
      </c>
      <c r="F120" s="48" t="s">
        <v>1055</v>
      </c>
      <c r="G120" s="49"/>
      <c r="H120" s="3">
        <f>D120*'Currency-Conversion'!$C$10</f>
        <v>7659698624.999999</v>
      </c>
      <c r="I120" s="3">
        <f>E120*'Currency-Conversion'!$C$10</f>
        <v>30638794499.999996</v>
      </c>
    </row>
    <row r="121" spans="1:9" ht="13.5" customHeight="1">
      <c r="A121" s="48">
        <v>101</v>
      </c>
      <c r="B121" s="48" t="s">
        <v>433</v>
      </c>
      <c r="C121" s="48">
        <v>3.3</v>
      </c>
      <c r="D121" s="48">
        <v>1000</v>
      </c>
      <c r="E121" s="48">
        <v>2500</v>
      </c>
      <c r="F121" s="48" t="s">
        <v>1056</v>
      </c>
      <c r="G121" s="49"/>
      <c r="H121" s="3">
        <f>D121*'Currency-Conversion'!$C$10</f>
        <v>3063879449.9999995</v>
      </c>
      <c r="I121" s="3">
        <f>E121*'Currency-Conversion'!$C$10</f>
        <v>7659698624.999999</v>
      </c>
    </row>
    <row r="122" spans="1:9" ht="13.5" customHeight="1">
      <c r="A122" s="48">
        <v>102</v>
      </c>
      <c r="B122" s="48" t="s">
        <v>434</v>
      </c>
      <c r="C122" s="48">
        <v>3.85</v>
      </c>
      <c r="D122" s="48">
        <v>1000</v>
      </c>
      <c r="E122" s="48">
        <v>2500</v>
      </c>
      <c r="F122" s="48" t="s">
        <v>1057</v>
      </c>
      <c r="G122" s="49"/>
      <c r="H122" s="3">
        <f>D122*'Currency-Conversion'!$C$10</f>
        <v>3063879449.9999995</v>
      </c>
      <c r="I122" s="3">
        <f>E122*'Currency-Conversion'!$C$10</f>
        <v>7659698624.999999</v>
      </c>
    </row>
    <row r="123" spans="1:9" ht="13.5" customHeight="1">
      <c r="A123" s="48">
        <v>103</v>
      </c>
      <c r="B123" s="48" t="s">
        <v>435</v>
      </c>
      <c r="C123" s="48">
        <v>3.5</v>
      </c>
      <c r="D123" s="48">
        <v>1000</v>
      </c>
      <c r="E123" s="48">
        <v>2500</v>
      </c>
      <c r="F123" s="48" t="s">
        <v>1058</v>
      </c>
      <c r="G123" s="49"/>
      <c r="H123" s="3">
        <f>D123*'Currency-Conversion'!$C$10</f>
        <v>3063879449.9999995</v>
      </c>
      <c r="I123" s="3">
        <f>E123*'Currency-Conversion'!$C$10</f>
        <v>7659698624.999999</v>
      </c>
    </row>
    <row r="124" spans="1:9" ht="13.5" customHeight="1">
      <c r="A124" s="48">
        <v>104</v>
      </c>
      <c r="B124" s="48" t="s">
        <v>436</v>
      </c>
      <c r="C124" s="48">
        <v>3.85</v>
      </c>
      <c r="D124" s="48">
        <v>1000</v>
      </c>
      <c r="E124" s="48">
        <v>2000</v>
      </c>
      <c r="F124" s="48" t="s">
        <v>1059</v>
      </c>
      <c r="G124" s="49"/>
      <c r="H124" s="3">
        <f>D124*'Currency-Conversion'!$C$10</f>
        <v>3063879449.9999995</v>
      </c>
      <c r="I124" s="3">
        <f>E124*'Currency-Conversion'!$C$10</f>
        <v>6127758899.999999</v>
      </c>
    </row>
    <row r="125" spans="1:9" ht="13.5" customHeight="1">
      <c r="A125" s="48">
        <v>105</v>
      </c>
      <c r="B125" s="48" t="s">
        <v>437</v>
      </c>
      <c r="C125" s="48">
        <v>3.5</v>
      </c>
      <c r="D125" s="48">
        <v>1000</v>
      </c>
      <c r="E125" s="48">
        <v>2000</v>
      </c>
      <c r="F125" s="48" t="s">
        <v>1060</v>
      </c>
      <c r="G125" s="49"/>
      <c r="H125" s="3">
        <f>D125*'Currency-Conversion'!$C$10</f>
        <v>3063879449.9999995</v>
      </c>
      <c r="I125" s="3">
        <f>E125*'Currency-Conversion'!$C$10</f>
        <v>6127758899.999999</v>
      </c>
    </row>
    <row r="126" spans="1:9" ht="13.5" customHeight="1">
      <c r="A126" s="48">
        <v>106</v>
      </c>
      <c r="B126" s="48" t="s">
        <v>438</v>
      </c>
      <c r="C126" s="48">
        <v>2.95</v>
      </c>
      <c r="D126" s="48">
        <v>1000</v>
      </c>
      <c r="E126" s="48">
        <v>2000</v>
      </c>
      <c r="F126" s="48" t="s">
        <v>1061</v>
      </c>
      <c r="G126" s="49"/>
      <c r="H126" s="3">
        <f>D126*'Currency-Conversion'!$C$10</f>
        <v>3063879449.9999995</v>
      </c>
      <c r="I126" s="3">
        <f>E126*'Currency-Conversion'!$C$10</f>
        <v>6127758899.999999</v>
      </c>
    </row>
    <row r="127" spans="1:9" ht="13.5" customHeight="1">
      <c r="A127" s="48">
        <v>107</v>
      </c>
      <c r="B127" s="48" t="s">
        <v>439</v>
      </c>
      <c r="C127" s="48">
        <v>3.3</v>
      </c>
      <c r="D127" s="48">
        <v>2500</v>
      </c>
      <c r="E127" s="48">
        <v>5000</v>
      </c>
      <c r="F127" s="48" t="s">
        <v>1062</v>
      </c>
      <c r="G127" s="49"/>
      <c r="H127" s="3">
        <f>D127*'Currency-Conversion'!$C$10</f>
        <v>7659698624.999999</v>
      </c>
      <c r="I127" s="3">
        <f>E127*'Currency-Conversion'!$C$10</f>
        <v>15319397249.999998</v>
      </c>
    </row>
    <row r="128" spans="1:9" ht="13.5" customHeight="1">
      <c r="A128" s="48">
        <v>108</v>
      </c>
      <c r="B128" s="48" t="s">
        <v>440</v>
      </c>
      <c r="C128" s="48">
        <v>3.3</v>
      </c>
      <c r="D128" s="48">
        <v>2500</v>
      </c>
      <c r="E128" s="48">
        <v>5000</v>
      </c>
      <c r="F128" s="48" t="s">
        <v>1063</v>
      </c>
      <c r="G128" s="49"/>
      <c r="H128" s="3">
        <f>D128*'Currency-Conversion'!$C$10</f>
        <v>7659698624.999999</v>
      </c>
      <c r="I128" s="3">
        <f>E128*'Currency-Conversion'!$C$10</f>
        <v>15319397249.999998</v>
      </c>
    </row>
    <row r="129" spans="1:9" ht="13.5" customHeight="1">
      <c r="A129" s="48">
        <v>109</v>
      </c>
      <c r="B129" s="48" t="s">
        <v>441</v>
      </c>
      <c r="C129" s="48">
        <v>3.3</v>
      </c>
      <c r="D129" s="48">
        <v>1000</v>
      </c>
      <c r="E129" s="48">
        <v>2500</v>
      </c>
      <c r="F129" s="48" t="s">
        <v>1064</v>
      </c>
      <c r="G129" s="49"/>
      <c r="H129" s="3">
        <f>D129*'Currency-Conversion'!$C$10</f>
        <v>3063879449.9999995</v>
      </c>
      <c r="I129" s="3">
        <f>E129*'Currency-Conversion'!$C$10</f>
        <v>7659698624.999999</v>
      </c>
    </row>
    <row r="130" spans="1:9" ht="13.5" customHeight="1">
      <c r="A130" s="48">
        <v>110</v>
      </c>
      <c r="B130" s="48" t="s">
        <v>442</v>
      </c>
      <c r="C130" s="48">
        <v>2.95</v>
      </c>
      <c r="D130" s="48">
        <v>1000</v>
      </c>
      <c r="E130" s="48">
        <v>2500</v>
      </c>
      <c r="F130" s="48" t="s">
        <v>1065</v>
      </c>
      <c r="G130" s="49"/>
      <c r="H130" s="3">
        <f>D130*'Currency-Conversion'!$C$10</f>
        <v>3063879449.9999995</v>
      </c>
      <c r="I130" s="3">
        <f>E130*'Currency-Conversion'!$C$10</f>
        <v>7659698624.999999</v>
      </c>
    </row>
    <row r="131" spans="1:9" ht="13.5" customHeight="1">
      <c r="A131" s="48">
        <v>111</v>
      </c>
      <c r="B131" s="48" t="s">
        <v>443</v>
      </c>
      <c r="C131" s="48">
        <v>2.75</v>
      </c>
      <c r="D131" s="48">
        <v>1000</v>
      </c>
      <c r="E131" s="48">
        <v>2500</v>
      </c>
      <c r="F131" s="48" t="s">
        <v>1066</v>
      </c>
      <c r="G131" s="49"/>
      <c r="H131" s="3">
        <f>D131*'Currency-Conversion'!$C$10</f>
        <v>3063879449.9999995</v>
      </c>
      <c r="I131" s="3">
        <f>E131*'Currency-Conversion'!$C$10</f>
        <v>7659698624.999999</v>
      </c>
    </row>
    <row r="132" spans="1:9" ht="13.5" customHeight="1">
      <c r="A132" s="48">
        <v>112</v>
      </c>
      <c r="B132" s="48" t="s">
        <v>444</v>
      </c>
      <c r="C132" s="48">
        <v>2.5499999999999998</v>
      </c>
      <c r="D132" s="48">
        <v>1000</v>
      </c>
      <c r="E132" s="48">
        <v>2500</v>
      </c>
      <c r="F132" s="48" t="s">
        <v>1067</v>
      </c>
      <c r="G132" s="49"/>
      <c r="H132" s="3">
        <f>D132*'Currency-Conversion'!$C$10</f>
        <v>3063879449.9999995</v>
      </c>
      <c r="I132" s="3">
        <f>E132*'Currency-Conversion'!$C$10</f>
        <v>7659698624.999999</v>
      </c>
    </row>
    <row r="133" spans="1:9" ht="13.5" customHeight="1">
      <c r="A133" s="48">
        <v>113</v>
      </c>
      <c r="B133" s="48" t="s">
        <v>445</v>
      </c>
      <c r="C133" s="48">
        <v>2.75</v>
      </c>
      <c r="D133" s="48">
        <v>1000</v>
      </c>
      <c r="E133" s="48">
        <v>2000</v>
      </c>
      <c r="F133" s="48" t="s">
        <v>1068</v>
      </c>
      <c r="G133" s="49"/>
      <c r="H133" s="3">
        <f>D133*'Currency-Conversion'!$C$10</f>
        <v>3063879449.9999995</v>
      </c>
      <c r="I133" s="3">
        <f>E133*'Currency-Conversion'!$C$10</f>
        <v>6127758899.999999</v>
      </c>
    </row>
    <row r="134" spans="1:9" ht="13.5" customHeight="1">
      <c r="A134" s="48">
        <v>114</v>
      </c>
      <c r="B134" s="48" t="s">
        <v>446</v>
      </c>
      <c r="C134" s="48">
        <v>3.3</v>
      </c>
      <c r="D134" s="48">
        <v>2500</v>
      </c>
      <c r="E134" s="48">
        <v>5000</v>
      </c>
      <c r="F134" s="48" t="s">
        <v>1069</v>
      </c>
      <c r="G134" s="49"/>
      <c r="H134" s="3">
        <f>D134*'Currency-Conversion'!$C$10</f>
        <v>7659698624.999999</v>
      </c>
      <c r="I134" s="3">
        <f>E134*'Currency-Conversion'!$C$10</f>
        <v>15319397249.999998</v>
      </c>
    </row>
    <row r="135" spans="1:9" ht="13.5" customHeight="1">
      <c r="A135" s="48">
        <v>115</v>
      </c>
      <c r="B135" s="48" t="s">
        <v>447</v>
      </c>
      <c r="C135" s="48">
        <v>2.2000000000000002</v>
      </c>
      <c r="D135" s="48">
        <v>1000</v>
      </c>
      <c r="E135" s="48">
        <v>2000</v>
      </c>
      <c r="F135" s="48" t="s">
        <v>1070</v>
      </c>
      <c r="G135" s="49"/>
      <c r="H135" s="3">
        <f>D135*'Currency-Conversion'!$C$10</f>
        <v>3063879449.9999995</v>
      </c>
      <c r="I135" s="3">
        <f>E135*'Currency-Conversion'!$C$10</f>
        <v>6127758899.999999</v>
      </c>
    </row>
    <row r="136" spans="1:9" ht="13.5" customHeight="1">
      <c r="A136" s="48">
        <v>116</v>
      </c>
      <c r="B136" s="48" t="s">
        <v>448</v>
      </c>
      <c r="C136" s="48">
        <v>2.2000000000000002</v>
      </c>
      <c r="D136" s="48">
        <v>1000</v>
      </c>
      <c r="E136" s="48">
        <v>2000</v>
      </c>
      <c r="F136" s="48" t="s">
        <v>1071</v>
      </c>
      <c r="G136" s="49"/>
      <c r="H136" s="3">
        <f>D136*'Currency-Conversion'!$C$10</f>
        <v>3063879449.9999995</v>
      </c>
      <c r="I136" s="3">
        <f>E136*'Currency-Conversion'!$C$10</f>
        <v>6127758899.999999</v>
      </c>
    </row>
    <row r="137" spans="1:9" ht="13.5" customHeight="1">
      <c r="A137" s="48">
        <v>117</v>
      </c>
      <c r="B137" s="48" t="s">
        <v>449</v>
      </c>
      <c r="C137" s="48">
        <v>2.2000000000000002</v>
      </c>
      <c r="D137" s="48">
        <v>1000</v>
      </c>
      <c r="E137" s="48">
        <v>2000</v>
      </c>
      <c r="F137" s="48" t="s">
        <v>1072</v>
      </c>
      <c r="G137" s="49"/>
      <c r="H137" s="3">
        <f>D137*'Currency-Conversion'!$C$10</f>
        <v>3063879449.9999995</v>
      </c>
      <c r="I137" s="3">
        <f>E137*'Currency-Conversion'!$C$10</f>
        <v>6127758899.999999</v>
      </c>
    </row>
    <row r="138" spans="1:9" ht="13.5" customHeight="1">
      <c r="A138" s="48">
        <v>118</v>
      </c>
      <c r="B138" s="48" t="s">
        <v>450</v>
      </c>
      <c r="C138" s="48">
        <v>2.4</v>
      </c>
      <c r="D138" s="48">
        <v>1000</v>
      </c>
      <c r="E138" s="48">
        <v>2000</v>
      </c>
      <c r="F138" s="48" t="s">
        <v>1073</v>
      </c>
      <c r="G138" s="49"/>
      <c r="H138" s="3">
        <f>D138*'Currency-Conversion'!$C$10</f>
        <v>3063879449.9999995</v>
      </c>
      <c r="I138" s="3">
        <f>E138*'Currency-Conversion'!$C$10</f>
        <v>6127758899.999999</v>
      </c>
    </row>
    <row r="139" spans="1:9" ht="13.5" customHeight="1">
      <c r="A139" s="48">
        <v>119</v>
      </c>
      <c r="B139" s="48" t="s">
        <v>451</v>
      </c>
      <c r="C139" s="48">
        <v>2.75</v>
      </c>
      <c r="D139" s="48">
        <v>1000</v>
      </c>
      <c r="E139" s="48">
        <v>2000</v>
      </c>
      <c r="F139" s="48" t="s">
        <v>1074</v>
      </c>
      <c r="G139" s="49"/>
      <c r="H139" s="3">
        <f>D139*'Currency-Conversion'!$C$10</f>
        <v>3063879449.9999995</v>
      </c>
      <c r="I139" s="3">
        <f>E139*'Currency-Conversion'!$C$10</f>
        <v>6127758899.999999</v>
      </c>
    </row>
    <row r="140" spans="1:9" ht="13.5" customHeight="1">
      <c r="A140" s="48">
        <v>120</v>
      </c>
      <c r="B140" s="48" t="s">
        <v>452</v>
      </c>
      <c r="C140" s="48">
        <v>3.75</v>
      </c>
      <c r="D140" s="48">
        <v>2500</v>
      </c>
      <c r="E140" s="48">
        <v>5000</v>
      </c>
      <c r="F140" s="48" t="s">
        <v>1075</v>
      </c>
      <c r="G140" s="49"/>
      <c r="H140" s="3">
        <f>D140*'Currency-Conversion'!$C$10</f>
        <v>7659698624.999999</v>
      </c>
      <c r="I140" s="3">
        <f>E140*'Currency-Conversion'!$C$10</f>
        <v>15319397249.999998</v>
      </c>
    </row>
    <row r="141" spans="1:9" ht="13.5" customHeight="1">
      <c r="A141" s="48">
        <v>121</v>
      </c>
      <c r="B141" s="48" t="s">
        <v>453</v>
      </c>
      <c r="C141" s="48">
        <v>3.85</v>
      </c>
      <c r="D141" s="48">
        <v>2500</v>
      </c>
      <c r="E141" s="48">
        <v>5000</v>
      </c>
      <c r="F141" s="48" t="s">
        <v>1076</v>
      </c>
      <c r="G141" s="49"/>
      <c r="H141" s="3">
        <f>D141*'Currency-Conversion'!$C$10</f>
        <v>7659698624.999999</v>
      </c>
      <c r="I141" s="3">
        <f>E141*'Currency-Conversion'!$C$10</f>
        <v>15319397249.999998</v>
      </c>
    </row>
    <row r="142" spans="1:9" ht="13.5" customHeight="1">
      <c r="A142" s="48">
        <v>122</v>
      </c>
      <c r="B142" s="48" t="s">
        <v>454</v>
      </c>
      <c r="C142" s="48">
        <v>3.4</v>
      </c>
      <c r="D142" s="48">
        <v>1000</v>
      </c>
      <c r="E142" s="48">
        <v>3000</v>
      </c>
      <c r="F142" s="48" t="s">
        <v>1077</v>
      </c>
      <c r="G142" s="49"/>
      <c r="H142" s="3">
        <f>D142*'Currency-Conversion'!$C$10</f>
        <v>3063879449.9999995</v>
      </c>
      <c r="I142" s="3">
        <f>E142*'Currency-Conversion'!$C$10</f>
        <v>9191638350</v>
      </c>
    </row>
    <row r="143" spans="1:9" ht="13.5" customHeight="1">
      <c r="A143" s="48">
        <v>123</v>
      </c>
      <c r="B143" s="48" t="s">
        <v>455</v>
      </c>
      <c r="C143" s="48">
        <v>3.85</v>
      </c>
      <c r="D143" s="48">
        <v>1000</v>
      </c>
      <c r="E143" s="48">
        <v>2000</v>
      </c>
      <c r="F143" s="48" t="s">
        <v>1078</v>
      </c>
      <c r="G143" s="49"/>
      <c r="H143" s="3">
        <f>D143*'Currency-Conversion'!$C$10</f>
        <v>3063879449.9999995</v>
      </c>
      <c r="I143" s="3">
        <f>E143*'Currency-Conversion'!$C$10</f>
        <v>6127758899.999999</v>
      </c>
    </row>
    <row r="144" spans="1:9" ht="13.5" customHeight="1">
      <c r="A144" s="48">
        <v>124</v>
      </c>
      <c r="B144" s="48" t="s">
        <v>8</v>
      </c>
      <c r="C144" s="48">
        <v>3.65</v>
      </c>
      <c r="D144" s="48">
        <v>1000</v>
      </c>
      <c r="E144" s="48">
        <v>2000</v>
      </c>
      <c r="F144" s="48" t="s">
        <v>1079</v>
      </c>
      <c r="G144" s="49"/>
      <c r="H144" s="3">
        <f>D144*'Currency-Conversion'!$C$10</f>
        <v>3063879449.9999995</v>
      </c>
      <c r="I144" s="3">
        <f>E144*'Currency-Conversion'!$C$10</f>
        <v>6127758899.999999</v>
      </c>
    </row>
    <row r="145" spans="1:9" ht="13.5" customHeight="1">
      <c r="A145" s="48">
        <v>125</v>
      </c>
      <c r="B145" s="48" t="s">
        <v>456</v>
      </c>
      <c r="C145" s="48">
        <v>3.1</v>
      </c>
      <c r="D145" s="48">
        <v>1000</v>
      </c>
      <c r="E145" s="48">
        <v>2000</v>
      </c>
      <c r="F145" s="48" t="s">
        <v>1080</v>
      </c>
      <c r="G145" s="49"/>
      <c r="H145" s="3">
        <f>D145*'Currency-Conversion'!$C$10</f>
        <v>3063879449.9999995</v>
      </c>
      <c r="I145" s="3">
        <f>E145*'Currency-Conversion'!$C$10</f>
        <v>6127758899.999999</v>
      </c>
    </row>
    <row r="146" spans="1:9" ht="13.5" customHeight="1">
      <c r="A146" s="48">
        <v>126</v>
      </c>
      <c r="B146" s="48" t="s">
        <v>457</v>
      </c>
      <c r="C146" s="48">
        <v>2.75</v>
      </c>
      <c r="D146" s="48">
        <v>1000</v>
      </c>
      <c r="E146" s="48">
        <v>2000</v>
      </c>
      <c r="F146" s="48" t="s">
        <v>1081</v>
      </c>
      <c r="G146" s="49"/>
      <c r="H146" s="3">
        <f>D146*'Currency-Conversion'!$C$10</f>
        <v>3063879449.9999995</v>
      </c>
      <c r="I146" s="3">
        <f>E146*'Currency-Conversion'!$C$10</f>
        <v>6127758899.999999</v>
      </c>
    </row>
    <row r="147" spans="1:9" ht="13.5" customHeight="1">
      <c r="A147" s="48">
        <v>127</v>
      </c>
      <c r="B147" s="48" t="s">
        <v>458</v>
      </c>
      <c r="C147" s="48">
        <v>2.75</v>
      </c>
      <c r="D147" s="48">
        <v>1000</v>
      </c>
      <c r="E147" s="48">
        <v>2000</v>
      </c>
      <c r="F147" s="48" t="s">
        <v>1082</v>
      </c>
      <c r="G147" s="49"/>
      <c r="H147" s="3">
        <f>D147*'Currency-Conversion'!$C$10</f>
        <v>3063879449.9999995</v>
      </c>
      <c r="I147" s="3">
        <f>E147*'Currency-Conversion'!$C$10</f>
        <v>6127758899.999999</v>
      </c>
    </row>
    <row r="148" spans="1:9" ht="13.5" customHeight="1">
      <c r="A148" s="48">
        <v>128</v>
      </c>
      <c r="B148" s="48" t="s">
        <v>459</v>
      </c>
      <c r="C148" s="48">
        <v>2.95</v>
      </c>
      <c r="D148" s="48">
        <v>1000</v>
      </c>
      <c r="E148" s="48">
        <v>2000</v>
      </c>
      <c r="F148" s="48" t="s">
        <v>1083</v>
      </c>
      <c r="G148" s="49"/>
      <c r="H148" s="3">
        <f>D148*'Currency-Conversion'!$C$10</f>
        <v>3063879449.9999995</v>
      </c>
      <c r="I148" s="3">
        <f>E148*'Currency-Conversion'!$C$10</f>
        <v>6127758899.999999</v>
      </c>
    </row>
    <row r="149" spans="1:9" ht="13.5" customHeight="1">
      <c r="A149" s="48">
        <v>129</v>
      </c>
      <c r="B149" s="48" t="s">
        <v>460</v>
      </c>
      <c r="C149" s="48">
        <v>2.75</v>
      </c>
      <c r="D149" s="48">
        <v>1000</v>
      </c>
      <c r="E149" s="48">
        <v>2000</v>
      </c>
      <c r="F149" s="48" t="s">
        <v>1084</v>
      </c>
      <c r="G149" s="49"/>
      <c r="H149" s="3">
        <f>D149*'Currency-Conversion'!$C$10</f>
        <v>3063879449.9999995</v>
      </c>
      <c r="I149" s="3">
        <f>E149*'Currency-Conversion'!$C$10</f>
        <v>6127758899.999999</v>
      </c>
    </row>
    <row r="150" spans="1:9" ht="13.5" customHeight="1">
      <c r="A150" s="48">
        <v>130</v>
      </c>
      <c r="B150" s="48" t="s">
        <v>461</v>
      </c>
      <c r="C150" s="48">
        <v>2.75</v>
      </c>
      <c r="D150" s="48">
        <v>1000</v>
      </c>
      <c r="E150" s="48">
        <v>2000</v>
      </c>
      <c r="F150" s="48" t="s">
        <v>1085</v>
      </c>
      <c r="G150" s="49"/>
      <c r="H150" s="3">
        <f>D150*'Currency-Conversion'!$C$10</f>
        <v>3063879449.9999995</v>
      </c>
      <c r="I150" s="3">
        <f>E150*'Currency-Conversion'!$C$10</f>
        <v>6127758899.999999</v>
      </c>
    </row>
    <row r="151" spans="1:9" ht="13.5" customHeight="1">
      <c r="A151" s="48">
        <v>131</v>
      </c>
      <c r="B151" s="48" t="s">
        <v>462</v>
      </c>
      <c r="C151" s="48">
        <v>3.3</v>
      </c>
      <c r="D151" s="48">
        <v>1000</v>
      </c>
      <c r="E151" s="48">
        <v>2500</v>
      </c>
      <c r="F151" s="48" t="s">
        <v>1086</v>
      </c>
      <c r="G151" s="49"/>
      <c r="H151" s="3">
        <f>D151*'Currency-Conversion'!$C$10</f>
        <v>3063879449.9999995</v>
      </c>
      <c r="I151" s="3">
        <f>E151*'Currency-Conversion'!$C$10</f>
        <v>7659698624.999999</v>
      </c>
    </row>
    <row r="152" spans="1:9" ht="13.5" customHeight="1">
      <c r="A152" s="48">
        <v>132</v>
      </c>
      <c r="B152" s="48" t="s">
        <v>463</v>
      </c>
      <c r="C152" s="48">
        <v>2.85</v>
      </c>
      <c r="D152" s="48">
        <v>1000</v>
      </c>
      <c r="E152" s="48">
        <v>2500</v>
      </c>
      <c r="F152" s="48" t="s">
        <v>1087</v>
      </c>
      <c r="G152" s="49"/>
      <c r="H152" s="3">
        <f>D152*'Currency-Conversion'!$C$10</f>
        <v>3063879449.9999995</v>
      </c>
      <c r="I152" s="3">
        <f>E152*'Currency-Conversion'!$C$10</f>
        <v>7659698624.999999</v>
      </c>
    </row>
    <row r="153" spans="1:9" ht="13.5" customHeight="1">
      <c r="A153" s="48">
        <v>133</v>
      </c>
      <c r="B153" s="48" t="s">
        <v>464</v>
      </c>
      <c r="C153" s="48">
        <v>3.3</v>
      </c>
      <c r="D153" s="48">
        <v>1000</v>
      </c>
      <c r="E153" s="48">
        <v>5000</v>
      </c>
      <c r="F153" s="48" t="s">
        <v>1088</v>
      </c>
      <c r="G153" s="49"/>
      <c r="H153" s="3">
        <f>D153*'Currency-Conversion'!$C$10</f>
        <v>3063879449.9999995</v>
      </c>
      <c r="I153" s="3">
        <f>E153*'Currency-Conversion'!$C$10</f>
        <v>15319397249.999998</v>
      </c>
    </row>
    <row r="154" spans="1:9" ht="13.5" customHeight="1">
      <c r="A154" s="48">
        <v>134</v>
      </c>
      <c r="B154" s="48" t="s">
        <v>465</v>
      </c>
      <c r="C154" s="48">
        <v>3.1</v>
      </c>
      <c r="D154" s="48">
        <v>1000</v>
      </c>
      <c r="E154" s="48">
        <v>2500</v>
      </c>
      <c r="F154" s="48" t="s">
        <v>1089</v>
      </c>
      <c r="G154" s="49"/>
      <c r="H154" s="3">
        <f>D154*'Currency-Conversion'!$C$10</f>
        <v>3063879449.9999995</v>
      </c>
      <c r="I154" s="3">
        <f>E154*'Currency-Conversion'!$C$10</f>
        <v>7659698624.999999</v>
      </c>
    </row>
    <row r="155" spans="1:9" ht="13.5" customHeight="1">
      <c r="A155" s="48">
        <v>135</v>
      </c>
      <c r="B155" s="48" t="s">
        <v>466</v>
      </c>
      <c r="C155" s="48">
        <v>2.75</v>
      </c>
      <c r="D155" s="48">
        <v>1000</v>
      </c>
      <c r="E155" s="48">
        <v>2000</v>
      </c>
      <c r="F155" s="48" t="s">
        <v>1090</v>
      </c>
      <c r="G155" s="49"/>
      <c r="H155" s="3">
        <f>D155*'Currency-Conversion'!$C$10</f>
        <v>3063879449.9999995</v>
      </c>
      <c r="I155" s="3">
        <f>E155*'Currency-Conversion'!$C$10</f>
        <v>6127758899.999999</v>
      </c>
    </row>
    <row r="156" spans="1:9" ht="13.5" customHeight="1">
      <c r="A156" s="48">
        <v>136</v>
      </c>
      <c r="B156" s="48" t="s">
        <v>467</v>
      </c>
      <c r="C156" s="48">
        <v>2.75</v>
      </c>
      <c r="D156" s="48">
        <v>1000</v>
      </c>
      <c r="E156" s="48">
        <v>2000</v>
      </c>
      <c r="F156" s="48" t="s">
        <v>1091</v>
      </c>
      <c r="G156" s="49"/>
      <c r="H156" s="3">
        <f>D156*'Currency-Conversion'!$C$10</f>
        <v>3063879449.9999995</v>
      </c>
      <c r="I156" s="3">
        <f>E156*'Currency-Conversion'!$C$10</f>
        <v>6127758899.999999</v>
      </c>
    </row>
    <row r="157" spans="1:9" ht="13.5" customHeight="1">
      <c r="A157" s="48">
        <v>137</v>
      </c>
      <c r="B157" s="48" t="s">
        <v>468</v>
      </c>
      <c r="C157" s="48">
        <v>2.75</v>
      </c>
      <c r="D157" s="48">
        <v>1000</v>
      </c>
      <c r="E157" s="48">
        <v>2000</v>
      </c>
      <c r="F157" s="48" t="s">
        <v>1092</v>
      </c>
      <c r="G157" s="49"/>
      <c r="H157" s="3">
        <f>D157*'Currency-Conversion'!$C$10</f>
        <v>3063879449.9999995</v>
      </c>
      <c r="I157" s="3">
        <f>E157*'Currency-Conversion'!$C$10</f>
        <v>6127758899.999999</v>
      </c>
    </row>
    <row r="158" spans="1:9" ht="13.5" customHeight="1">
      <c r="A158" s="48">
        <v>138</v>
      </c>
      <c r="B158" s="48" t="s">
        <v>469</v>
      </c>
      <c r="C158" s="48">
        <v>3.3</v>
      </c>
      <c r="D158" s="48">
        <v>1000</v>
      </c>
      <c r="E158" s="48">
        <v>2500</v>
      </c>
      <c r="F158" s="48" t="s">
        <v>1093</v>
      </c>
      <c r="G158" s="49"/>
      <c r="H158" s="3">
        <f>D158*'Currency-Conversion'!$C$10</f>
        <v>3063879449.9999995</v>
      </c>
      <c r="I158" s="3">
        <f>E158*'Currency-Conversion'!$C$10</f>
        <v>7659698624.999999</v>
      </c>
    </row>
    <row r="159" spans="1:9" ht="13.5" customHeight="1">
      <c r="A159" s="48">
        <v>139</v>
      </c>
      <c r="B159" s="48" t="s">
        <v>470</v>
      </c>
      <c r="C159" s="48">
        <v>3.3</v>
      </c>
      <c r="D159" s="48">
        <v>1000</v>
      </c>
      <c r="E159" s="48">
        <v>2500</v>
      </c>
      <c r="F159" s="48" t="s">
        <v>1094</v>
      </c>
      <c r="G159" s="49"/>
      <c r="H159" s="3">
        <f>D159*'Currency-Conversion'!$C$10</f>
        <v>3063879449.9999995</v>
      </c>
      <c r="I159" s="3">
        <f>E159*'Currency-Conversion'!$C$10</f>
        <v>7659698624.999999</v>
      </c>
    </row>
    <row r="160" spans="1:9" ht="13.5" customHeight="1">
      <c r="A160" s="48">
        <v>140</v>
      </c>
      <c r="B160" s="48" t="s">
        <v>471</v>
      </c>
      <c r="C160" s="48">
        <v>3.3</v>
      </c>
      <c r="D160" s="48">
        <v>2500</v>
      </c>
      <c r="E160" s="48">
        <v>2500</v>
      </c>
      <c r="F160" s="48" t="s">
        <v>1095</v>
      </c>
      <c r="G160" s="49"/>
      <c r="H160" s="3">
        <f>D160*'Currency-Conversion'!$C$10</f>
        <v>7659698624.999999</v>
      </c>
      <c r="I160" s="3">
        <f>E160*'Currency-Conversion'!$C$10</f>
        <v>7659698624.999999</v>
      </c>
    </row>
    <row r="161" spans="1:9" ht="13.5" customHeight="1">
      <c r="A161" s="48">
        <v>141</v>
      </c>
      <c r="B161" s="48" t="s">
        <v>472</v>
      </c>
      <c r="C161" s="48">
        <v>3.3</v>
      </c>
      <c r="D161" s="48">
        <v>1000</v>
      </c>
      <c r="E161" s="48">
        <v>5000</v>
      </c>
      <c r="F161" s="48" t="s">
        <v>1096</v>
      </c>
      <c r="G161" s="49"/>
      <c r="H161" s="3">
        <f>D161*'Currency-Conversion'!$C$10</f>
        <v>3063879449.9999995</v>
      </c>
      <c r="I161" s="3">
        <f>E161*'Currency-Conversion'!$C$10</f>
        <v>15319397249.999998</v>
      </c>
    </row>
    <row r="162" spans="1:9" ht="13.5" customHeight="1">
      <c r="A162" s="48">
        <v>142</v>
      </c>
      <c r="B162" s="48" t="s">
        <v>473</v>
      </c>
      <c r="C162" s="48">
        <v>3.1</v>
      </c>
      <c r="D162" s="48">
        <v>1000</v>
      </c>
      <c r="E162" s="48">
        <v>2000</v>
      </c>
      <c r="F162" s="48" t="s">
        <v>1097</v>
      </c>
      <c r="G162" s="49"/>
      <c r="H162" s="3">
        <f>D162*'Currency-Conversion'!$C$10</f>
        <v>3063879449.9999995</v>
      </c>
      <c r="I162" s="3">
        <f>E162*'Currency-Conversion'!$C$10</f>
        <v>6127758899.999999</v>
      </c>
    </row>
    <row r="163" spans="1:9" ht="13.5" customHeight="1">
      <c r="A163" s="48">
        <v>143</v>
      </c>
      <c r="B163" s="48" t="s">
        <v>474</v>
      </c>
      <c r="C163" s="48">
        <v>3.3</v>
      </c>
      <c r="D163" s="48">
        <v>5000</v>
      </c>
      <c r="E163" s="48">
        <v>5000</v>
      </c>
      <c r="F163" s="48" t="s">
        <v>1098</v>
      </c>
      <c r="G163" s="49"/>
      <c r="H163" s="3">
        <f>D163*'Currency-Conversion'!$C$10</f>
        <v>15319397249.999998</v>
      </c>
      <c r="I163" s="3">
        <f>E163*'Currency-Conversion'!$C$10</f>
        <v>15319397249.999998</v>
      </c>
    </row>
    <row r="164" spans="1:9" ht="13.5" customHeight="1">
      <c r="A164" s="48">
        <v>144</v>
      </c>
      <c r="B164" s="48" t="s">
        <v>475</v>
      </c>
      <c r="C164" s="48">
        <v>3.15</v>
      </c>
      <c r="D164" s="48">
        <v>1000</v>
      </c>
      <c r="E164" s="48">
        <v>2000</v>
      </c>
      <c r="F164" s="48" t="s">
        <v>1099</v>
      </c>
      <c r="G164" s="49"/>
      <c r="H164" s="3">
        <f>D164*'Currency-Conversion'!$C$10</f>
        <v>3063879449.9999995</v>
      </c>
      <c r="I164" s="3">
        <f>E164*'Currency-Conversion'!$C$10</f>
        <v>6127758899.999999</v>
      </c>
    </row>
    <row r="165" spans="1:9" ht="13.5" customHeight="1">
      <c r="A165" s="48">
        <v>145</v>
      </c>
      <c r="B165" s="48" t="s">
        <v>476</v>
      </c>
      <c r="C165" s="48">
        <v>3.6</v>
      </c>
      <c r="D165" s="48">
        <v>2500</v>
      </c>
      <c r="E165" s="48">
        <v>5000</v>
      </c>
      <c r="F165" s="48" t="s">
        <v>1100</v>
      </c>
      <c r="G165" s="49"/>
      <c r="H165" s="3">
        <f>D165*'Currency-Conversion'!$C$10</f>
        <v>7659698624.999999</v>
      </c>
      <c r="I165" s="3">
        <f>E165*'Currency-Conversion'!$C$10</f>
        <v>15319397249.999998</v>
      </c>
    </row>
    <row r="166" spans="1:9" ht="13.5" customHeight="1">
      <c r="A166" s="48">
        <v>146</v>
      </c>
      <c r="B166" s="48" t="s">
        <v>477</v>
      </c>
      <c r="C166" s="48">
        <v>3.2</v>
      </c>
      <c r="D166" s="48">
        <v>1000</v>
      </c>
      <c r="E166" s="48">
        <v>2000</v>
      </c>
      <c r="F166" s="48" t="s">
        <v>1101</v>
      </c>
      <c r="G166" s="49"/>
      <c r="H166" s="3">
        <f>D166*'Currency-Conversion'!$C$10</f>
        <v>3063879449.9999995</v>
      </c>
      <c r="I166" s="3">
        <f>E166*'Currency-Conversion'!$C$10</f>
        <v>6127758899.999999</v>
      </c>
    </row>
    <row r="167" spans="1:9" ht="13.5" customHeight="1">
      <c r="A167" s="48">
        <v>147</v>
      </c>
      <c r="B167" s="48" t="s">
        <v>478</v>
      </c>
      <c r="C167" s="48">
        <v>2.75</v>
      </c>
      <c r="D167" s="48">
        <v>1000</v>
      </c>
      <c r="E167" s="48">
        <v>2000</v>
      </c>
      <c r="F167" s="48" t="s">
        <v>1102</v>
      </c>
      <c r="G167" s="49"/>
      <c r="H167" s="3">
        <f>D167*'Currency-Conversion'!$C$10</f>
        <v>3063879449.9999995</v>
      </c>
      <c r="I167" s="3">
        <f>E167*'Currency-Conversion'!$C$10</f>
        <v>6127758899.999999</v>
      </c>
    </row>
    <row r="168" spans="1:9" ht="13.5" customHeight="1">
      <c r="A168" s="48">
        <v>148</v>
      </c>
      <c r="B168" s="48" t="s">
        <v>479</v>
      </c>
      <c r="C168" s="48">
        <v>3.3</v>
      </c>
      <c r="D168" s="48">
        <v>1000</v>
      </c>
      <c r="E168" s="48">
        <v>2000</v>
      </c>
      <c r="F168" s="48" t="s">
        <v>1103</v>
      </c>
      <c r="G168" s="49"/>
      <c r="H168" s="3">
        <f>D168*'Currency-Conversion'!$C$10</f>
        <v>3063879449.9999995</v>
      </c>
      <c r="I168" s="3">
        <f>E168*'Currency-Conversion'!$C$10</f>
        <v>6127758899.999999</v>
      </c>
    </row>
    <row r="169" spans="1:9" ht="13.5" customHeight="1">
      <c r="A169" s="48">
        <v>149</v>
      </c>
      <c r="B169" s="48" t="s">
        <v>480</v>
      </c>
      <c r="C169" s="48">
        <v>3.3</v>
      </c>
      <c r="D169" s="48">
        <v>1000</v>
      </c>
      <c r="E169" s="48">
        <v>2500</v>
      </c>
      <c r="F169" s="48" t="s">
        <v>1104</v>
      </c>
      <c r="G169" s="49"/>
      <c r="H169" s="3">
        <f>D169*'Currency-Conversion'!$C$10</f>
        <v>3063879449.9999995</v>
      </c>
      <c r="I169" s="3">
        <f>E169*'Currency-Conversion'!$C$10</f>
        <v>7659698624.999999</v>
      </c>
    </row>
    <row r="170" spans="1:9" ht="13.5" customHeight="1">
      <c r="A170" s="48">
        <v>150</v>
      </c>
      <c r="B170" s="48" t="s">
        <v>481</v>
      </c>
      <c r="C170" s="48">
        <v>3.1</v>
      </c>
      <c r="D170" s="48">
        <v>1000</v>
      </c>
      <c r="E170" s="48">
        <v>2500</v>
      </c>
      <c r="F170" s="48" t="s">
        <v>1105</v>
      </c>
      <c r="G170" s="49"/>
      <c r="H170" s="3">
        <f>D170*'Currency-Conversion'!$C$10</f>
        <v>3063879449.9999995</v>
      </c>
      <c r="I170" s="3">
        <f>E170*'Currency-Conversion'!$C$10</f>
        <v>7659698624.999999</v>
      </c>
    </row>
    <row r="171" spans="1:9" ht="13.5" customHeight="1">
      <c r="A171" s="48">
        <v>151</v>
      </c>
      <c r="B171" s="48" t="s">
        <v>482</v>
      </c>
      <c r="C171" s="48">
        <v>3.3</v>
      </c>
      <c r="D171" s="48">
        <v>1000</v>
      </c>
      <c r="E171" s="48">
        <v>2500</v>
      </c>
      <c r="F171" s="48" t="s">
        <v>1106</v>
      </c>
      <c r="G171" s="49"/>
      <c r="H171" s="3">
        <f>D171*'Currency-Conversion'!$C$10</f>
        <v>3063879449.9999995</v>
      </c>
      <c r="I171" s="3">
        <f>E171*'Currency-Conversion'!$C$10</f>
        <v>7659698624.999999</v>
      </c>
    </row>
    <row r="172" spans="1:9" ht="13.5" customHeight="1">
      <c r="A172" s="49"/>
      <c r="B172" s="49"/>
      <c r="C172" s="49"/>
      <c r="D172" s="49"/>
      <c r="E172" s="49"/>
      <c r="F172" s="49"/>
      <c r="G172" s="49"/>
    </row>
  </sheetData>
  <mergeCells count="4">
    <mergeCell ref="A1:G1"/>
    <mergeCell ref="A2:G2"/>
    <mergeCell ref="A15:G15"/>
    <mergeCell ref="A19:G19"/>
  </mergeCells>
  <pageMargins left="0.75" right="0.75" top="1" bottom="1" header="0.511811023622047" footer="0.511811023622047"/>
  <pageSetup paperSize="9" orientation="portrait" horizontalDpi="300" verticalDpi="30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F35"/>
  <sheetViews>
    <sheetView zoomScaleNormal="100" workbookViewId="0">
      <pane ySplit="1" topLeftCell="A2" activePane="bottomLeft" state="frozen"/>
      <selection pane="bottomLeft" activeCell="A15" sqref="A15"/>
    </sheetView>
  </sheetViews>
  <sheetFormatPr baseColWidth="10" defaultColWidth="8.5" defaultRowHeight="14"/>
  <cols>
    <col min="1" max="1" width="35.33203125" customWidth="1"/>
    <col min="2" max="2" width="18.5" customWidth="1"/>
    <col min="3" max="3" width="20.33203125" customWidth="1"/>
    <col min="4" max="4" width="32.33203125" customWidth="1"/>
    <col min="5" max="5" width="13" customWidth="1"/>
    <col min="6" max="6" width="53.6640625" customWidth="1"/>
  </cols>
  <sheetData>
    <row r="1" spans="1:6" ht="25.5" customHeight="1">
      <c r="A1" s="24" t="s">
        <v>1107</v>
      </c>
      <c r="B1" s="24" t="s">
        <v>1108</v>
      </c>
      <c r="C1" s="24" t="s">
        <v>1109</v>
      </c>
      <c r="D1" s="24" t="s">
        <v>1110</v>
      </c>
      <c r="E1" s="24" t="s">
        <v>1111</v>
      </c>
      <c r="F1" s="24" t="s">
        <v>1112</v>
      </c>
    </row>
    <row r="2" spans="1:6" ht="25.5" customHeight="1">
      <c r="A2" s="50" t="s">
        <v>241</v>
      </c>
      <c r="B2" s="50" t="s">
        <v>1113</v>
      </c>
      <c r="C2" s="50" t="s">
        <v>1114</v>
      </c>
      <c r="D2" s="50" t="s">
        <v>1115</v>
      </c>
      <c r="E2" s="50" t="s">
        <v>1116</v>
      </c>
      <c r="F2" s="50" t="s">
        <v>1117</v>
      </c>
    </row>
    <row r="3" spans="1:6" ht="13.5" customHeight="1">
      <c r="A3" s="50" t="s">
        <v>241</v>
      </c>
      <c r="B3" s="50" t="s">
        <v>1118</v>
      </c>
      <c r="C3" s="50">
        <v>0</v>
      </c>
      <c r="D3" s="50" t="s">
        <v>525</v>
      </c>
      <c r="E3" s="50" t="s">
        <v>1116</v>
      </c>
      <c r="F3" s="50" t="s">
        <v>1119</v>
      </c>
    </row>
    <row r="4" spans="1:6" ht="25.5" customHeight="1">
      <c r="A4" s="50" t="s">
        <v>1120</v>
      </c>
      <c r="B4" s="50" t="s">
        <v>1121</v>
      </c>
      <c r="C4" s="50" t="s">
        <v>1122</v>
      </c>
      <c r="D4" s="50" t="s">
        <v>1123</v>
      </c>
      <c r="E4" s="50" t="s">
        <v>626</v>
      </c>
      <c r="F4" s="50" t="s">
        <v>1124</v>
      </c>
    </row>
    <row r="5" spans="1:6" ht="25.5" customHeight="1">
      <c r="A5" s="50" t="s">
        <v>1120</v>
      </c>
      <c r="B5" s="50" t="s">
        <v>1125</v>
      </c>
      <c r="C5" s="50" t="s">
        <v>1126</v>
      </c>
      <c r="D5" s="50" t="s">
        <v>515</v>
      </c>
      <c r="E5" s="50" t="s">
        <v>626</v>
      </c>
      <c r="F5" s="50"/>
    </row>
    <row r="6" spans="1:6" ht="25.5" customHeight="1">
      <c r="A6" s="50" t="s">
        <v>1120</v>
      </c>
      <c r="B6" s="50" t="s">
        <v>1127</v>
      </c>
      <c r="C6" s="50" t="s">
        <v>1128</v>
      </c>
      <c r="D6" s="50" t="s">
        <v>515</v>
      </c>
      <c r="E6" s="50" t="s">
        <v>626</v>
      </c>
      <c r="F6" s="50"/>
    </row>
    <row r="7" spans="1:6" ht="25.5" customHeight="1">
      <c r="A7" s="50" t="s">
        <v>1120</v>
      </c>
      <c r="B7" s="50" t="s">
        <v>1118</v>
      </c>
      <c r="C7" s="50">
        <v>0</v>
      </c>
      <c r="D7" s="50" t="s">
        <v>525</v>
      </c>
      <c r="E7" s="50" t="s">
        <v>626</v>
      </c>
      <c r="F7" s="50" t="s">
        <v>1129</v>
      </c>
    </row>
    <row r="8" spans="1:6" ht="13.5" customHeight="1">
      <c r="A8" s="50" t="s">
        <v>1130</v>
      </c>
      <c r="B8" s="50" t="s">
        <v>1121</v>
      </c>
      <c r="C8" s="50" t="s">
        <v>1122</v>
      </c>
      <c r="D8" s="50" t="s">
        <v>515</v>
      </c>
      <c r="E8" s="50" t="s">
        <v>629</v>
      </c>
      <c r="F8" s="50" t="s">
        <v>1131</v>
      </c>
    </row>
    <row r="9" spans="1:6" ht="13.5" customHeight="1">
      <c r="A9" s="50" t="s">
        <v>1130</v>
      </c>
      <c r="B9" s="50" t="s">
        <v>1125</v>
      </c>
      <c r="C9" s="50" t="s">
        <v>1126</v>
      </c>
      <c r="D9" s="50" t="s">
        <v>515</v>
      </c>
      <c r="E9" s="50" t="s">
        <v>629</v>
      </c>
      <c r="F9" s="50"/>
    </row>
    <row r="10" spans="1:6" ht="13.5" customHeight="1">
      <c r="A10" s="50" t="s">
        <v>1130</v>
      </c>
      <c r="B10" s="50" t="s">
        <v>1127</v>
      </c>
      <c r="C10" s="50" t="s">
        <v>1128</v>
      </c>
      <c r="D10" s="50" t="s">
        <v>515</v>
      </c>
      <c r="E10" s="50" t="s">
        <v>629</v>
      </c>
      <c r="F10" s="50"/>
    </row>
    <row r="11" spans="1:6" ht="13.5" customHeight="1">
      <c r="A11" s="50" t="s">
        <v>1130</v>
      </c>
      <c r="B11" s="50" t="s">
        <v>1118</v>
      </c>
      <c r="C11" s="50">
        <v>0</v>
      </c>
      <c r="D11" s="50" t="s">
        <v>525</v>
      </c>
      <c r="E11" s="50" t="s">
        <v>629</v>
      </c>
      <c r="F11" s="50"/>
    </row>
    <row r="12" spans="1:6" ht="13.5" customHeight="1">
      <c r="A12" s="50" t="s">
        <v>1132</v>
      </c>
      <c r="B12" s="50" t="s">
        <v>1133</v>
      </c>
      <c r="C12" s="50" t="s">
        <v>514</v>
      </c>
      <c r="D12" s="50" t="s">
        <v>1134</v>
      </c>
      <c r="E12" s="50" t="s">
        <v>1135</v>
      </c>
      <c r="F12" s="50" t="s">
        <v>1136</v>
      </c>
    </row>
    <row r="13" spans="1:6" ht="13.5" customHeight="1">
      <c r="A13" s="50" t="s">
        <v>1132</v>
      </c>
      <c r="B13" s="50" t="s">
        <v>1118</v>
      </c>
      <c r="C13" s="50">
        <v>0</v>
      </c>
      <c r="D13" s="50" t="s">
        <v>525</v>
      </c>
      <c r="E13" s="50" t="s">
        <v>1137</v>
      </c>
      <c r="F13" s="50"/>
    </row>
    <row r="14" spans="1:6" ht="13.5" customHeight="1">
      <c r="A14" s="50" t="s">
        <v>1138</v>
      </c>
      <c r="B14" s="50" t="s">
        <v>1133</v>
      </c>
      <c r="C14" s="50" t="s">
        <v>520</v>
      </c>
      <c r="D14" s="50" t="s">
        <v>1134</v>
      </c>
      <c r="E14" s="50" t="s">
        <v>1139</v>
      </c>
      <c r="F14" s="50" t="s">
        <v>1140</v>
      </c>
    </row>
    <row r="15" spans="1:6" ht="13.5" customHeight="1">
      <c r="A15" s="50" t="s">
        <v>1138</v>
      </c>
      <c r="B15" s="50" t="s">
        <v>1118</v>
      </c>
      <c r="C15" s="50">
        <v>0</v>
      </c>
      <c r="D15" s="50" t="s">
        <v>525</v>
      </c>
      <c r="E15" s="50" t="s">
        <v>1141</v>
      </c>
      <c r="F15" s="50"/>
    </row>
    <row r="16" spans="1:6" ht="13.5" customHeight="1">
      <c r="A16" s="50" t="s">
        <v>1142</v>
      </c>
      <c r="B16" s="50" t="s">
        <v>1143</v>
      </c>
      <c r="C16" s="50" t="s">
        <v>496</v>
      </c>
      <c r="D16" s="50" t="s">
        <v>497</v>
      </c>
      <c r="E16" s="50" t="s">
        <v>1144</v>
      </c>
      <c r="F16" s="50" t="s">
        <v>1145</v>
      </c>
    </row>
    <row r="17" spans="1:6" ht="13.5" customHeight="1">
      <c r="A17" s="50" t="s">
        <v>1142</v>
      </c>
      <c r="B17" s="50" t="s">
        <v>1118</v>
      </c>
      <c r="C17" s="50">
        <v>0</v>
      </c>
      <c r="D17" s="50" t="s">
        <v>525</v>
      </c>
      <c r="E17" s="50" t="s">
        <v>1146</v>
      </c>
      <c r="F17" s="50"/>
    </row>
    <row r="18" spans="1:6" ht="13.5" customHeight="1">
      <c r="A18" s="50" t="s">
        <v>1147</v>
      </c>
      <c r="B18" s="50" t="s">
        <v>1148</v>
      </c>
      <c r="C18" s="50">
        <v>5</v>
      </c>
      <c r="D18" s="50" t="s">
        <v>540</v>
      </c>
      <c r="E18" s="50" t="s">
        <v>1149</v>
      </c>
      <c r="F18" s="50" t="s">
        <v>1150</v>
      </c>
    </row>
    <row r="19" spans="1:6" ht="13.5" customHeight="1">
      <c r="A19" s="50" t="s">
        <v>1147</v>
      </c>
      <c r="B19" s="50" t="s">
        <v>1151</v>
      </c>
      <c r="C19" s="50" t="s">
        <v>1152</v>
      </c>
      <c r="D19" s="50" t="s">
        <v>540</v>
      </c>
      <c r="E19" s="50" t="s">
        <v>1153</v>
      </c>
      <c r="F19" s="50" t="s">
        <v>1154</v>
      </c>
    </row>
    <row r="20" spans="1:6" ht="13.5" customHeight="1">
      <c r="A20" s="50" t="s">
        <v>1147</v>
      </c>
      <c r="B20" s="50" t="s">
        <v>1118</v>
      </c>
      <c r="C20" s="50">
        <v>0</v>
      </c>
      <c r="D20" s="50" t="s">
        <v>525</v>
      </c>
      <c r="E20" s="50" t="s">
        <v>1153</v>
      </c>
      <c r="F20" s="50"/>
    </row>
    <row r="21" spans="1:6" ht="13.5" customHeight="1">
      <c r="A21" s="50" t="s">
        <v>1155</v>
      </c>
      <c r="B21" s="50" t="s">
        <v>1156</v>
      </c>
      <c r="C21" s="50">
        <v>0</v>
      </c>
      <c r="D21" s="50" t="s">
        <v>1157</v>
      </c>
      <c r="E21" s="50" t="s">
        <v>1158</v>
      </c>
      <c r="F21" s="50" t="s">
        <v>1159</v>
      </c>
    </row>
    <row r="22" spans="1:6" ht="13.5" customHeight="1">
      <c r="A22" s="50" t="s">
        <v>1155</v>
      </c>
      <c r="B22" s="50" t="s">
        <v>1160</v>
      </c>
      <c r="C22" s="50" t="s">
        <v>1161</v>
      </c>
      <c r="D22" s="50" t="s">
        <v>570</v>
      </c>
      <c r="E22" s="50" t="s">
        <v>1158</v>
      </c>
      <c r="F22" s="50" t="s">
        <v>1162</v>
      </c>
    </row>
    <row r="23" spans="1:6" ht="13.5" customHeight="1">
      <c r="A23" s="50" t="s">
        <v>1155</v>
      </c>
      <c r="B23" s="50" t="s">
        <v>1118</v>
      </c>
      <c r="C23" s="50">
        <v>0</v>
      </c>
      <c r="D23" s="50" t="s">
        <v>525</v>
      </c>
      <c r="E23" s="50" t="s">
        <v>1158</v>
      </c>
      <c r="F23" s="50"/>
    </row>
    <row r="24" spans="1:6" ht="13.5" customHeight="1">
      <c r="A24" s="50" t="s">
        <v>1163</v>
      </c>
      <c r="B24" s="50" t="s">
        <v>1143</v>
      </c>
      <c r="C24" s="50">
        <v>0.1</v>
      </c>
      <c r="D24" s="50" t="s">
        <v>1164</v>
      </c>
      <c r="E24" s="50" t="s">
        <v>1165</v>
      </c>
      <c r="F24" s="50" t="s">
        <v>1166</v>
      </c>
    </row>
    <row r="25" spans="1:6" ht="13.5" customHeight="1">
      <c r="A25" s="50" t="s">
        <v>1163</v>
      </c>
      <c r="B25" s="50" t="s">
        <v>1118</v>
      </c>
      <c r="C25" s="50">
        <v>0</v>
      </c>
      <c r="D25" s="50" t="s">
        <v>525</v>
      </c>
      <c r="E25" s="50" t="s">
        <v>1167</v>
      </c>
      <c r="F25" s="50"/>
    </row>
    <row r="26" spans="1:6" ht="13.5" customHeight="1">
      <c r="A26" s="50" t="s">
        <v>1168</v>
      </c>
      <c r="B26" s="50" t="s">
        <v>1143</v>
      </c>
      <c r="C26" s="50" t="s">
        <v>1169</v>
      </c>
      <c r="D26" s="50" t="s">
        <v>1170</v>
      </c>
      <c r="E26" s="50" t="s">
        <v>1171</v>
      </c>
      <c r="F26" s="50" t="s">
        <v>1172</v>
      </c>
    </row>
    <row r="27" spans="1:6" ht="13.5" customHeight="1">
      <c r="A27" s="50" t="s">
        <v>1168</v>
      </c>
      <c r="B27" s="50" t="s">
        <v>1118</v>
      </c>
      <c r="C27" s="50">
        <v>0</v>
      </c>
      <c r="D27" s="50" t="s">
        <v>525</v>
      </c>
      <c r="E27" s="50" t="s">
        <v>1173</v>
      </c>
      <c r="F27" s="50"/>
    </row>
    <row r="28" spans="1:6" ht="25.5" customHeight="1">
      <c r="A28" s="50" t="s">
        <v>1174</v>
      </c>
      <c r="B28" s="50" t="s">
        <v>1175</v>
      </c>
      <c r="C28" s="50" t="s">
        <v>1176</v>
      </c>
      <c r="D28" s="50" t="s">
        <v>1177</v>
      </c>
      <c r="E28" s="50" t="s">
        <v>1178</v>
      </c>
      <c r="F28" s="50" t="s">
        <v>1179</v>
      </c>
    </row>
    <row r="29" spans="1:6" ht="13.5" customHeight="1">
      <c r="A29" s="50" t="s">
        <v>1174</v>
      </c>
      <c r="B29" s="50" t="s">
        <v>1180</v>
      </c>
      <c r="C29" s="50">
        <v>0</v>
      </c>
      <c r="D29" s="50" t="s">
        <v>525</v>
      </c>
      <c r="E29" s="50" t="s">
        <v>1181</v>
      </c>
      <c r="F29" s="50"/>
    </row>
    <row r="30" spans="1:6" ht="25.5" customHeight="1">
      <c r="A30" s="50" t="s">
        <v>1182</v>
      </c>
      <c r="B30" s="50" t="s">
        <v>1113</v>
      </c>
      <c r="C30" s="50" t="s">
        <v>557</v>
      </c>
      <c r="D30" s="50" t="s">
        <v>558</v>
      </c>
      <c r="E30" s="50" t="s">
        <v>1183</v>
      </c>
      <c r="F30" s="50" t="s">
        <v>1184</v>
      </c>
    </row>
    <row r="31" spans="1:6" ht="13.5" customHeight="1">
      <c r="A31" s="50" t="s">
        <v>1182</v>
      </c>
      <c r="B31" s="50" t="s">
        <v>1185</v>
      </c>
      <c r="C31" s="50">
        <v>0</v>
      </c>
      <c r="D31" s="50" t="s">
        <v>525</v>
      </c>
      <c r="E31" s="50" t="s">
        <v>1183</v>
      </c>
      <c r="F31" s="50"/>
    </row>
    <row r="32" spans="1:6" ht="13.5" customHeight="1">
      <c r="A32" s="50" t="s">
        <v>1186</v>
      </c>
      <c r="B32" s="50" t="s">
        <v>1113</v>
      </c>
      <c r="C32" s="50" t="s">
        <v>1187</v>
      </c>
      <c r="D32" s="50" t="s">
        <v>1188</v>
      </c>
      <c r="E32" s="50" t="s">
        <v>1189</v>
      </c>
      <c r="F32" s="50" t="s">
        <v>1190</v>
      </c>
    </row>
    <row r="33" spans="1:6" ht="13.5" customHeight="1">
      <c r="A33" s="50" t="s">
        <v>1186</v>
      </c>
      <c r="B33" s="50" t="s">
        <v>1118</v>
      </c>
      <c r="C33" s="50">
        <v>0</v>
      </c>
      <c r="D33" s="50" t="s">
        <v>525</v>
      </c>
      <c r="E33" s="50" t="s">
        <v>1191</v>
      </c>
      <c r="F33" s="50"/>
    </row>
    <row r="34" spans="1:6" ht="25.5" customHeight="1">
      <c r="A34" s="50" t="s">
        <v>1192</v>
      </c>
      <c r="B34" s="50" t="s">
        <v>1143</v>
      </c>
      <c r="C34" s="50" t="s">
        <v>1193</v>
      </c>
      <c r="D34" s="50" t="s">
        <v>634</v>
      </c>
      <c r="E34" s="50" t="s">
        <v>1194</v>
      </c>
      <c r="F34" s="50" t="s">
        <v>1195</v>
      </c>
    </row>
    <row r="35" spans="1:6" ht="13.5" customHeight="1">
      <c r="A35" s="50" t="s">
        <v>1192</v>
      </c>
      <c r="B35" s="50" t="s">
        <v>1118</v>
      </c>
      <c r="C35" s="50">
        <v>0</v>
      </c>
      <c r="D35" s="50" t="s">
        <v>525</v>
      </c>
      <c r="E35" s="50" t="s">
        <v>1196</v>
      </c>
      <c r="F35" s="50"/>
    </row>
  </sheetData>
  <pageMargins left="0.7" right="0.7" top="0.75" bottom="0.75" header="0.511811023622047" footer="0.511811023622047"/>
  <pageSetup paperSize="9" orientation="portrait" horizontalDpi="300" verticalDpi="30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F18"/>
  <sheetViews>
    <sheetView zoomScaleNormal="100" workbookViewId="0">
      <pane ySplit="1" topLeftCell="A2" activePane="bottomLeft" state="frozen"/>
      <selection pane="bottomLeft" activeCell="A19" sqref="A19"/>
    </sheetView>
  </sheetViews>
  <sheetFormatPr baseColWidth="10" defaultColWidth="8.5" defaultRowHeight="14"/>
  <cols>
    <col min="1" max="1" width="33.83203125" customWidth="1"/>
    <col min="2" max="2" width="11.83203125" customWidth="1"/>
    <col min="3" max="3" width="14.1640625" customWidth="1"/>
    <col min="4" max="4" width="8.83203125" customWidth="1"/>
    <col min="5" max="5" width="13.1640625" customWidth="1"/>
    <col min="6" max="6" width="41.6640625" customWidth="1"/>
  </cols>
  <sheetData>
    <row r="1" spans="1:6" ht="45" customHeight="1">
      <c r="A1" s="69" t="s">
        <v>1197</v>
      </c>
      <c r="B1" s="69"/>
      <c r="C1" s="69"/>
      <c r="D1" s="69"/>
      <c r="E1" s="69"/>
      <c r="F1" s="69"/>
    </row>
    <row r="2" spans="1:6" ht="25.5" customHeight="1"/>
    <row r="3" spans="1:6" ht="23.25" customHeight="1">
      <c r="A3" s="24" t="s">
        <v>1198</v>
      </c>
      <c r="B3" s="24" t="s">
        <v>1199</v>
      </c>
      <c r="C3" s="24" t="s">
        <v>1200</v>
      </c>
      <c r="D3" s="24" t="s">
        <v>1201</v>
      </c>
      <c r="E3" s="24" t="s">
        <v>1202</v>
      </c>
      <c r="F3" s="24" t="s">
        <v>236</v>
      </c>
    </row>
    <row r="4" spans="1:6" ht="13.5" customHeight="1">
      <c r="A4" s="50" t="s">
        <v>1203</v>
      </c>
      <c r="B4" s="50" t="s">
        <v>1204</v>
      </c>
      <c r="C4" s="50">
        <v>6.4000000000000001E-2</v>
      </c>
      <c r="D4" s="50">
        <v>3</v>
      </c>
      <c r="E4" s="50" t="s">
        <v>1205</v>
      </c>
      <c r="F4" s="50" t="s">
        <v>1206</v>
      </c>
    </row>
    <row r="5" spans="1:6" ht="25.5" customHeight="1">
      <c r="A5" s="50" t="s">
        <v>1207</v>
      </c>
      <c r="B5" s="50" t="s">
        <v>1208</v>
      </c>
      <c r="C5" s="50">
        <v>2.5999999999999999E-2</v>
      </c>
      <c r="D5" s="50">
        <v>3</v>
      </c>
      <c r="E5" s="50" t="s">
        <v>1205</v>
      </c>
      <c r="F5" s="50" t="s">
        <v>1209</v>
      </c>
    </row>
    <row r="6" spans="1:6" ht="13.5" customHeight="1">
      <c r="A6" s="50" t="s">
        <v>1210</v>
      </c>
      <c r="B6" s="50" t="s">
        <v>1208</v>
      </c>
      <c r="C6" s="50">
        <v>2.5999999999999999E-2</v>
      </c>
      <c r="D6" s="50">
        <v>3</v>
      </c>
      <c r="E6" s="50" t="s">
        <v>1205</v>
      </c>
      <c r="F6" s="50" t="s">
        <v>1211</v>
      </c>
    </row>
    <row r="7" spans="1:6" ht="13.5" customHeight="1">
      <c r="A7" s="50" t="s">
        <v>1212</v>
      </c>
      <c r="B7" s="50" t="s">
        <v>1213</v>
      </c>
      <c r="C7" s="50">
        <v>0</v>
      </c>
      <c r="D7" s="50">
        <v>3</v>
      </c>
      <c r="E7" s="50" t="s">
        <v>526</v>
      </c>
      <c r="F7" s="50" t="s">
        <v>1214</v>
      </c>
    </row>
    <row r="8" spans="1:6" ht="13.5" customHeight="1">
      <c r="A8" s="50" t="s">
        <v>1215</v>
      </c>
      <c r="B8" s="50" t="s">
        <v>1213</v>
      </c>
      <c r="C8" s="50">
        <v>0</v>
      </c>
      <c r="D8" s="50">
        <v>3</v>
      </c>
      <c r="E8" s="50" t="s">
        <v>526</v>
      </c>
      <c r="F8" s="50" t="s">
        <v>1216</v>
      </c>
    </row>
    <row r="9" spans="1:6" ht="13.5" customHeight="1">
      <c r="A9" s="50" t="s">
        <v>1217</v>
      </c>
      <c r="B9" s="50" t="s">
        <v>1213</v>
      </c>
      <c r="C9" s="50">
        <v>0</v>
      </c>
      <c r="D9" s="50">
        <v>3</v>
      </c>
      <c r="E9" s="50" t="s">
        <v>526</v>
      </c>
      <c r="F9" s="50" t="s">
        <v>1218</v>
      </c>
    </row>
    <row r="10" spans="1:6" ht="13.5" customHeight="1">
      <c r="A10" s="50" t="s">
        <v>1219</v>
      </c>
      <c r="B10" s="50" t="s">
        <v>1213</v>
      </c>
      <c r="C10" s="50">
        <v>0</v>
      </c>
      <c r="D10" s="50">
        <v>3</v>
      </c>
      <c r="E10" s="50" t="s">
        <v>526</v>
      </c>
      <c r="F10" s="50" t="s">
        <v>1218</v>
      </c>
    </row>
    <row r="11" spans="1:6" ht="13.5" customHeight="1">
      <c r="A11" s="50" t="s">
        <v>1220</v>
      </c>
      <c r="B11" s="50" t="s">
        <v>1221</v>
      </c>
      <c r="C11" s="50">
        <v>0</v>
      </c>
      <c r="D11" s="50">
        <v>3</v>
      </c>
      <c r="E11" s="50" t="s">
        <v>526</v>
      </c>
      <c r="F11" s="50" t="s">
        <v>1222</v>
      </c>
    </row>
    <row r="12" spans="1:6" ht="13.5" customHeight="1">
      <c r="A12" s="50" t="s">
        <v>1223</v>
      </c>
      <c r="B12" s="50" t="s">
        <v>1221</v>
      </c>
      <c r="C12" s="50">
        <v>0</v>
      </c>
      <c r="D12" s="50">
        <v>3</v>
      </c>
      <c r="E12" s="50" t="s">
        <v>526</v>
      </c>
      <c r="F12" s="50" t="s">
        <v>1224</v>
      </c>
    </row>
    <row r="13" spans="1:6" ht="13.5" customHeight="1">
      <c r="A13" s="50" t="s">
        <v>1225</v>
      </c>
      <c r="B13" s="50" t="s">
        <v>1221</v>
      </c>
      <c r="C13" s="50">
        <v>0</v>
      </c>
      <c r="D13" s="50">
        <v>3</v>
      </c>
      <c r="E13" s="50" t="s">
        <v>526</v>
      </c>
      <c r="F13" s="50" t="s">
        <v>1224</v>
      </c>
    </row>
    <row r="14" spans="1:6" ht="13.5" customHeight="1">
      <c r="A14" s="50" t="s">
        <v>1226</v>
      </c>
      <c r="B14" s="50" t="s">
        <v>1221</v>
      </c>
      <c r="C14" s="50">
        <v>0</v>
      </c>
      <c r="D14" s="50">
        <v>3</v>
      </c>
      <c r="E14" s="50" t="s">
        <v>526</v>
      </c>
      <c r="F14" s="50" t="s">
        <v>1224</v>
      </c>
    </row>
    <row r="15" spans="1:6" ht="13.5" customHeight="1">
      <c r="A15" s="50" t="s">
        <v>1227</v>
      </c>
      <c r="B15" s="50" t="s">
        <v>1221</v>
      </c>
      <c r="C15" s="50">
        <v>0</v>
      </c>
      <c r="D15" s="50">
        <v>3</v>
      </c>
      <c r="E15" s="50" t="s">
        <v>526</v>
      </c>
      <c r="F15" s="50" t="s">
        <v>1224</v>
      </c>
    </row>
    <row r="16" spans="1:6" ht="43.5" customHeight="1">
      <c r="A16" s="70" t="s">
        <v>1228</v>
      </c>
      <c r="B16" s="70"/>
      <c r="C16" s="70"/>
      <c r="D16" s="70"/>
      <c r="E16" s="70"/>
      <c r="F16" s="70"/>
    </row>
    <row r="17" spans="1:6" ht="13.5" customHeight="1">
      <c r="A17" s="50" t="s">
        <v>1229</v>
      </c>
      <c r="B17" s="50" t="s">
        <v>1230</v>
      </c>
      <c r="C17" s="50">
        <v>0</v>
      </c>
      <c r="D17" s="50">
        <v>3</v>
      </c>
      <c r="E17" s="50" t="s">
        <v>526</v>
      </c>
      <c r="F17" s="50" t="s">
        <v>1231</v>
      </c>
    </row>
    <row r="18" spans="1:6" ht="108.75" customHeight="1">
      <c r="A18" s="51" t="s">
        <v>1232</v>
      </c>
    </row>
  </sheetData>
  <mergeCells count="2">
    <mergeCell ref="A1:F1"/>
    <mergeCell ref="A16:F16"/>
  </mergeCells>
  <pageMargins left="0.7" right="0.7" top="0.75" bottom="0.75" header="0.511811023622047" footer="0.511811023622047"/>
  <pageSetup paperSize="9" orientation="portrait" horizontalDpi="300" verticalDpi="30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49"/>
  <sheetViews>
    <sheetView zoomScaleNormal="100" workbookViewId="0">
      <selection activeCell="C28" sqref="C28"/>
    </sheetView>
  </sheetViews>
  <sheetFormatPr baseColWidth="10" defaultColWidth="8.6640625" defaultRowHeight="21"/>
  <cols>
    <col min="1" max="1" width="37.83203125" style="75" bestFit="1" customWidth="1"/>
    <col min="2" max="2" width="10.5" style="75" bestFit="1" customWidth="1"/>
    <col min="3" max="3" width="14" style="75" bestFit="1" customWidth="1"/>
    <col min="4" max="4" width="69" style="75" bestFit="1" customWidth="1"/>
    <col min="5" max="16384" width="8.6640625" style="75"/>
  </cols>
  <sheetData>
    <row r="1" spans="1:4">
      <c r="A1" s="121" t="s">
        <v>71</v>
      </c>
      <c r="B1" s="121"/>
      <c r="C1" s="121"/>
      <c r="D1" s="121"/>
    </row>
    <row r="3" spans="1:4" ht="22">
      <c r="A3" s="122" t="s">
        <v>72</v>
      </c>
    </row>
    <row r="4" spans="1:4" ht="44">
      <c r="A4" s="123" t="s">
        <v>73</v>
      </c>
      <c r="C4" s="124">
        <v>1480135</v>
      </c>
      <c r="D4" s="125" t="s">
        <v>74</v>
      </c>
    </row>
    <row r="6" spans="1:4" ht="44">
      <c r="A6" s="122" t="s">
        <v>75</v>
      </c>
    </row>
    <row r="7" spans="1:4" ht="66">
      <c r="A7" s="123" t="s">
        <v>76</v>
      </c>
      <c r="C7" s="124">
        <v>2.0699999999999998</v>
      </c>
      <c r="D7" s="125" t="s">
        <v>77</v>
      </c>
    </row>
    <row r="9" spans="1:4" ht="44">
      <c r="A9" s="122" t="s">
        <v>78</v>
      </c>
    </row>
    <row r="10" spans="1:4" ht="44">
      <c r="A10" s="123" t="s">
        <v>79</v>
      </c>
      <c r="C10" s="126">
        <f>C4*C7</f>
        <v>3063879.4499999997</v>
      </c>
      <c r="D10" s="125" t="s">
        <v>80</v>
      </c>
    </row>
    <row r="12" spans="1:4">
      <c r="A12" s="121" t="s">
        <v>81</v>
      </c>
      <c r="B12" s="121"/>
      <c r="C12" s="121"/>
      <c r="D12" s="121"/>
    </row>
    <row r="13" spans="1:4" ht="66">
      <c r="A13" s="127" t="s">
        <v>82</v>
      </c>
      <c r="B13" s="127" t="s">
        <v>83</v>
      </c>
      <c r="C13" s="127" t="s">
        <v>84</v>
      </c>
      <c r="D13" s="127" t="s">
        <v>85</v>
      </c>
    </row>
    <row r="14" spans="1:4" ht="22">
      <c r="A14" s="128" t="s">
        <v>86</v>
      </c>
      <c r="B14" s="128">
        <v>100000</v>
      </c>
      <c r="C14" s="128">
        <f t="shared" ref="C14:C24" si="0">B14*$C$10</f>
        <v>306387945000</v>
      </c>
      <c r="D14" s="128" t="s">
        <v>87</v>
      </c>
    </row>
    <row r="15" spans="1:4" ht="44">
      <c r="A15" s="128" t="s">
        <v>88</v>
      </c>
      <c r="B15" s="128">
        <v>500</v>
      </c>
      <c r="C15" s="128">
        <f t="shared" si="0"/>
        <v>1531939724.9999998</v>
      </c>
      <c r="D15" s="128" t="s">
        <v>89</v>
      </c>
    </row>
    <row r="16" spans="1:4" ht="44">
      <c r="A16" s="128" t="s">
        <v>90</v>
      </c>
      <c r="B16" s="128">
        <v>5000000</v>
      </c>
      <c r="C16" s="128">
        <f t="shared" si="0"/>
        <v>15319397249999.998</v>
      </c>
      <c r="D16" s="128" t="s">
        <v>91</v>
      </c>
    </row>
    <row r="17" spans="1:4" ht="44">
      <c r="A17" s="128" t="s">
        <v>92</v>
      </c>
      <c r="B17" s="128">
        <v>1000000</v>
      </c>
      <c r="C17" s="128">
        <f t="shared" si="0"/>
        <v>3063879449999.9995</v>
      </c>
      <c r="D17" s="128" t="s">
        <v>93</v>
      </c>
    </row>
    <row r="18" spans="1:4" ht="22">
      <c r="A18" s="128" t="s">
        <v>94</v>
      </c>
      <c r="B18" s="128">
        <v>500000</v>
      </c>
      <c r="C18" s="128">
        <f t="shared" si="0"/>
        <v>1531939724999.9998</v>
      </c>
      <c r="D18" s="128" t="s">
        <v>95</v>
      </c>
    </row>
    <row r="19" spans="1:4" ht="22">
      <c r="A19" s="128" t="s">
        <v>96</v>
      </c>
      <c r="B19" s="128">
        <v>1000000</v>
      </c>
      <c r="C19" s="128">
        <f t="shared" si="0"/>
        <v>3063879449999.9995</v>
      </c>
      <c r="D19" s="128" t="s">
        <v>97</v>
      </c>
    </row>
    <row r="20" spans="1:4" ht="22">
      <c r="A20" s="128" t="s">
        <v>98</v>
      </c>
      <c r="B20" s="128">
        <v>2000000</v>
      </c>
      <c r="C20" s="128">
        <f t="shared" si="0"/>
        <v>6127758899999.999</v>
      </c>
      <c r="D20" s="128" t="s">
        <v>97</v>
      </c>
    </row>
    <row r="21" spans="1:4" ht="22">
      <c r="A21" s="128" t="s">
        <v>99</v>
      </c>
      <c r="B21" s="128">
        <v>4000000</v>
      </c>
      <c r="C21" s="128">
        <f t="shared" si="0"/>
        <v>12255517799999.998</v>
      </c>
      <c r="D21" s="128" t="s">
        <v>97</v>
      </c>
    </row>
    <row r="22" spans="1:4" ht="66">
      <c r="A22" s="128" t="s">
        <v>100</v>
      </c>
      <c r="B22" s="128" t="s">
        <v>2450</v>
      </c>
      <c r="C22" s="128" t="e">
        <f t="shared" si="0"/>
        <v>#VALUE!</v>
      </c>
      <c r="D22" s="128" t="s">
        <v>97</v>
      </c>
    </row>
    <row r="23" spans="1:4" ht="66">
      <c r="A23" s="128" t="s">
        <v>101</v>
      </c>
      <c r="B23" s="128" t="s">
        <v>2451</v>
      </c>
      <c r="C23" s="128" t="e">
        <f t="shared" si="0"/>
        <v>#VALUE!</v>
      </c>
      <c r="D23" s="128" t="s">
        <v>97</v>
      </c>
    </row>
    <row r="24" spans="1:4" ht="22">
      <c r="A24" s="128" t="s">
        <v>102</v>
      </c>
      <c r="B24" s="128">
        <v>10000000</v>
      </c>
      <c r="C24" s="128">
        <f t="shared" si="0"/>
        <v>30638794499999.996</v>
      </c>
      <c r="D24" s="128" t="s">
        <v>97</v>
      </c>
    </row>
    <row r="27" spans="1:4">
      <c r="D27" s="75" t="s">
        <v>2452</v>
      </c>
    </row>
    <row r="48" spans="3:3">
      <c r="C48" s="75">
        <v>0</v>
      </c>
    </row>
    <row r="49" spans="3:3">
      <c r="C49" s="75">
        <v>0.1</v>
      </c>
    </row>
  </sheetData>
  <mergeCells count="2">
    <mergeCell ref="A1:D1"/>
    <mergeCell ref="A12:D12"/>
  </mergeCells>
  <pageMargins left="0.75" right="0.75" top="1" bottom="1" header="0.511811023622047" footer="0.511811023622047"/>
  <pageSetup paperSize="9" orientation="portrait" horizontalDpi="300" verticalDpi="30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E4"/>
  <sheetViews>
    <sheetView zoomScaleNormal="100" workbookViewId="0">
      <pane ySplit="1" topLeftCell="A2" activePane="bottomLeft" state="frozen"/>
      <selection pane="bottomLeft" activeCell="B15" sqref="B15"/>
    </sheetView>
  </sheetViews>
  <sheetFormatPr baseColWidth="10" defaultColWidth="8.5" defaultRowHeight="14"/>
  <cols>
    <col min="1" max="1" width="34.5" style="4" customWidth="1"/>
    <col min="2" max="2" width="11.5" style="4" customWidth="1"/>
    <col min="3" max="3" width="8.33203125" customWidth="1"/>
    <col min="4" max="4" width="48" customWidth="1"/>
    <col min="5" max="5" width="16" customWidth="1"/>
  </cols>
  <sheetData>
    <row r="1" spans="1:5" ht="25.5" customHeight="1">
      <c r="A1" s="24" t="s">
        <v>1233</v>
      </c>
      <c r="B1" s="24" t="s">
        <v>1234</v>
      </c>
      <c r="C1" s="24" t="s">
        <v>1235</v>
      </c>
      <c r="D1" s="24" t="s">
        <v>1236</v>
      </c>
      <c r="E1" s="34" t="s">
        <v>1237</v>
      </c>
    </row>
    <row r="2" spans="1:5" ht="22.5" customHeight="1">
      <c r="A2" s="50" t="s">
        <v>1238</v>
      </c>
      <c r="B2" s="50">
        <v>15</v>
      </c>
      <c r="C2" s="50">
        <v>5000000</v>
      </c>
      <c r="D2" s="50" t="s">
        <v>1239</v>
      </c>
      <c r="E2" s="3">
        <f>C2*'Currency-Conversion'!$C$10</f>
        <v>15319397249999.998</v>
      </c>
    </row>
    <row r="3" spans="1:5" ht="25.5" customHeight="1">
      <c r="A3" s="50" t="s">
        <v>1240</v>
      </c>
      <c r="B3" s="50">
        <v>5</v>
      </c>
      <c r="C3" s="50">
        <v>5000000</v>
      </c>
      <c r="D3" s="50" t="s">
        <v>1241</v>
      </c>
      <c r="E3" s="3">
        <f>C3*'Currency-Conversion'!$C$10</f>
        <v>15319397249999.998</v>
      </c>
    </row>
    <row r="4" spans="1:5" ht="13.5" customHeight="1">
      <c r="A4" s="50" t="s">
        <v>58</v>
      </c>
      <c r="B4" s="50">
        <v>0</v>
      </c>
      <c r="C4" s="50">
        <v>0</v>
      </c>
      <c r="D4" s="50" t="s">
        <v>1242</v>
      </c>
      <c r="E4" s="3">
        <f>C4*'Currency-Conversion'!$C$10</f>
        <v>0</v>
      </c>
    </row>
  </sheetData>
  <pageMargins left="0.7" right="0.7" top="0.75" bottom="0.75" header="0.511811023622047" footer="0.511811023622047"/>
  <pageSetup paperSize="9" orientation="portrait" horizontalDpi="300" verticalDpi="30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C16"/>
  <sheetViews>
    <sheetView zoomScaleNormal="100" workbookViewId="0">
      <selection activeCell="B7" sqref="B7"/>
    </sheetView>
  </sheetViews>
  <sheetFormatPr baseColWidth="10" defaultColWidth="8.5" defaultRowHeight="14"/>
  <cols>
    <col min="1" max="1" width="9.83203125" customWidth="1"/>
    <col min="2" max="2" width="135.5" customWidth="1"/>
    <col min="3" max="3" width="74.5" customWidth="1"/>
  </cols>
  <sheetData>
    <row r="1" spans="1:3" ht="13.5" customHeight="1">
      <c r="A1" s="52" t="s">
        <v>1243</v>
      </c>
      <c r="B1" s="52" t="s">
        <v>1244</v>
      </c>
      <c r="C1" s="52" t="s">
        <v>1245</v>
      </c>
    </row>
    <row r="2" spans="1:3" ht="15" customHeight="1">
      <c r="A2" t="s">
        <v>1246</v>
      </c>
      <c r="B2" s="53" t="s">
        <v>1247</v>
      </c>
      <c r="C2" t="s">
        <v>1248</v>
      </c>
    </row>
    <row r="3" spans="1:3" ht="13.5" customHeight="1">
      <c r="B3" t="s">
        <v>1249</v>
      </c>
    </row>
    <row r="4" spans="1:3" ht="45.75" customHeight="1">
      <c r="A4" s="54" t="s">
        <v>1250</v>
      </c>
      <c r="B4" s="54" t="s">
        <v>1251</v>
      </c>
      <c r="C4" s="54" t="s">
        <v>1252</v>
      </c>
    </row>
    <row r="5" spans="1:3" ht="45.75" customHeight="1">
      <c r="A5" s="54" t="s">
        <v>1250</v>
      </c>
      <c r="B5" s="54" t="s">
        <v>1253</v>
      </c>
      <c r="C5" s="54" t="s">
        <v>1254</v>
      </c>
    </row>
    <row r="6" spans="1:3" ht="195.75" customHeight="1">
      <c r="A6" s="53" t="s">
        <v>1250</v>
      </c>
      <c r="B6" s="53" t="s">
        <v>1255</v>
      </c>
      <c r="C6" s="53" t="s">
        <v>1256</v>
      </c>
    </row>
    <row r="7" spans="1:3" ht="135.75" customHeight="1">
      <c r="A7" s="13" t="s">
        <v>1257</v>
      </c>
      <c r="B7" s="13" t="s">
        <v>1258</v>
      </c>
      <c r="C7" s="13" t="s">
        <v>1259</v>
      </c>
    </row>
    <row r="8" spans="1:3" ht="79.5" customHeight="1">
      <c r="A8" s="13" t="s">
        <v>1257</v>
      </c>
      <c r="B8" s="13" t="s">
        <v>1260</v>
      </c>
      <c r="C8" s="13" t="s">
        <v>1261</v>
      </c>
    </row>
    <row r="9" spans="1:3" ht="113.25" customHeight="1">
      <c r="A9" s="13" t="s">
        <v>1257</v>
      </c>
      <c r="B9" s="13" t="s">
        <v>1262</v>
      </c>
      <c r="C9" s="13" t="s">
        <v>1263</v>
      </c>
    </row>
    <row r="10" spans="1:3" ht="157.5" customHeight="1">
      <c r="A10" s="13" t="s">
        <v>1257</v>
      </c>
      <c r="B10" s="13" t="s">
        <v>1264</v>
      </c>
      <c r="C10" s="13" t="s">
        <v>1265</v>
      </c>
    </row>
    <row r="11" spans="1:3" ht="191.25" customHeight="1">
      <c r="A11" s="13" t="s">
        <v>1266</v>
      </c>
      <c r="B11" s="13" t="s">
        <v>1267</v>
      </c>
      <c r="C11" s="13" t="s">
        <v>1268</v>
      </c>
    </row>
    <row r="12" spans="1:3" ht="135.75" customHeight="1">
      <c r="A12" s="13" t="s">
        <v>1266</v>
      </c>
      <c r="B12" s="13" t="s">
        <v>1269</v>
      </c>
      <c r="C12" s="13" t="s">
        <v>1270</v>
      </c>
    </row>
    <row r="13" spans="1:3" ht="165">
      <c r="A13" s="13" t="s">
        <v>1266</v>
      </c>
      <c r="B13" s="13" t="s">
        <v>1271</v>
      </c>
      <c r="C13" s="13" t="s">
        <v>1272</v>
      </c>
    </row>
    <row r="14" spans="1:3" ht="220" customHeight="1">
      <c r="A14" s="13" t="s">
        <v>2460</v>
      </c>
      <c r="B14" s="13" t="s">
        <v>2459</v>
      </c>
      <c r="C14" s="13" t="s">
        <v>2461</v>
      </c>
    </row>
    <row r="15" spans="1:3" ht="260" customHeight="1">
      <c r="A15" s="13" t="s">
        <v>2610</v>
      </c>
      <c r="B15" s="13" t="s">
        <v>2609</v>
      </c>
      <c r="C15" s="13" t="s">
        <v>2611</v>
      </c>
    </row>
    <row r="16" spans="1:3" ht="260" customHeight="1">
      <c r="A16" s="13" t="s">
        <v>2625</v>
      </c>
      <c r="B16" s="13" t="s">
        <v>2624</v>
      </c>
      <c r="C16" s="13" t="s">
        <v>2626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F35"/>
  <sheetViews>
    <sheetView zoomScaleNormal="100" workbookViewId="0"/>
  </sheetViews>
  <sheetFormatPr baseColWidth="10" defaultColWidth="8.83203125" defaultRowHeight="14"/>
  <cols>
    <col min="2" max="2" width="22" customWidth="1"/>
    <col min="5" max="5" width="60" customWidth="1"/>
  </cols>
  <sheetData>
    <row r="1" spans="1:6" ht="45" customHeight="1">
      <c r="A1" s="69" t="s">
        <v>1273</v>
      </c>
      <c r="B1" s="69"/>
      <c r="C1" s="69"/>
      <c r="D1" s="69"/>
      <c r="E1" s="69"/>
      <c r="F1" s="69"/>
    </row>
    <row r="3" spans="1:6" ht="13.5" customHeight="1">
      <c r="A3" t="s">
        <v>104</v>
      </c>
      <c r="B3" t="s">
        <v>1274</v>
      </c>
      <c r="C3" t="s">
        <v>1275</v>
      </c>
      <c r="D3" t="s">
        <v>1276</v>
      </c>
      <c r="E3" t="s">
        <v>1277</v>
      </c>
    </row>
    <row r="4" spans="1:6" ht="13.5" customHeight="1">
      <c r="A4">
        <v>1</v>
      </c>
      <c r="B4" t="s">
        <v>1278</v>
      </c>
      <c r="C4">
        <v>1.1499999999999999</v>
      </c>
      <c r="D4">
        <v>3.83</v>
      </c>
      <c r="E4" t="s">
        <v>1279</v>
      </c>
    </row>
    <row r="5" spans="1:6" ht="13.5" customHeight="1">
      <c r="A5">
        <v>2</v>
      </c>
      <c r="B5" t="s">
        <v>1280</v>
      </c>
      <c r="C5">
        <v>1</v>
      </c>
      <c r="D5">
        <v>2.83</v>
      </c>
      <c r="E5" t="s">
        <v>1281</v>
      </c>
    </row>
    <row r="6" spans="1:6" ht="13.5" customHeight="1">
      <c r="A6">
        <v>3</v>
      </c>
      <c r="B6" t="s">
        <v>13</v>
      </c>
      <c r="C6">
        <v>1</v>
      </c>
      <c r="D6">
        <v>2.78</v>
      </c>
      <c r="E6" t="s">
        <v>1282</v>
      </c>
    </row>
    <row r="7" spans="1:6" ht="13.5" customHeight="1">
      <c r="A7">
        <v>4</v>
      </c>
      <c r="B7" t="s">
        <v>1283</v>
      </c>
      <c r="C7">
        <v>1</v>
      </c>
      <c r="D7">
        <v>2.88</v>
      </c>
      <c r="E7" t="s">
        <v>1284</v>
      </c>
    </row>
    <row r="8" spans="1:6" ht="13.5" customHeight="1">
      <c r="A8">
        <v>5</v>
      </c>
      <c r="B8" t="s">
        <v>1285</v>
      </c>
      <c r="C8">
        <v>1</v>
      </c>
      <c r="D8">
        <v>2.78</v>
      </c>
      <c r="E8" t="s">
        <v>1286</v>
      </c>
    </row>
    <row r="9" spans="1:6" ht="13.5" customHeight="1">
      <c r="A9">
        <v>6</v>
      </c>
      <c r="B9" t="s">
        <v>1287</v>
      </c>
      <c r="C9">
        <v>1</v>
      </c>
      <c r="D9">
        <v>3.23</v>
      </c>
      <c r="E9" t="s">
        <v>1288</v>
      </c>
    </row>
    <row r="10" spans="1:6" ht="13.5" customHeight="1">
      <c r="A10">
        <v>7</v>
      </c>
      <c r="B10" t="s">
        <v>1289</v>
      </c>
      <c r="C10">
        <v>1</v>
      </c>
      <c r="D10">
        <v>3.33</v>
      </c>
      <c r="E10" t="s">
        <v>1290</v>
      </c>
    </row>
    <row r="11" spans="1:6" ht="13.5" customHeight="1">
      <c r="A11">
        <v>8</v>
      </c>
      <c r="B11" t="s">
        <v>1291</v>
      </c>
      <c r="C11">
        <v>1</v>
      </c>
      <c r="D11">
        <v>3.33</v>
      </c>
      <c r="E11" t="s">
        <v>1292</v>
      </c>
    </row>
    <row r="12" spans="1:6" ht="13.5" customHeight="1">
      <c r="A12">
        <v>9</v>
      </c>
      <c r="B12" t="s">
        <v>1293</v>
      </c>
      <c r="C12">
        <v>1.1499999999999999</v>
      </c>
      <c r="D12">
        <v>3.88</v>
      </c>
      <c r="E12" t="s">
        <v>1294</v>
      </c>
    </row>
    <row r="13" spans="1:6" ht="13.5" customHeight="1">
      <c r="A13">
        <v>10</v>
      </c>
      <c r="B13" t="s">
        <v>1295</v>
      </c>
      <c r="C13">
        <v>1</v>
      </c>
      <c r="D13">
        <v>3.28</v>
      </c>
      <c r="E13" t="s">
        <v>1296</v>
      </c>
    </row>
    <row r="14" spans="1:6" ht="13.5" customHeight="1">
      <c r="A14">
        <v>11</v>
      </c>
      <c r="B14" t="s">
        <v>1297</v>
      </c>
      <c r="C14">
        <v>1</v>
      </c>
      <c r="D14">
        <v>2.83</v>
      </c>
      <c r="E14" t="s">
        <v>1298</v>
      </c>
    </row>
    <row r="15" spans="1:6" ht="13.5" customHeight="1">
      <c r="A15">
        <v>12</v>
      </c>
      <c r="B15" t="s">
        <v>1299</v>
      </c>
      <c r="C15">
        <v>1</v>
      </c>
      <c r="D15">
        <v>2.83</v>
      </c>
      <c r="E15" t="s">
        <v>1300</v>
      </c>
    </row>
    <row r="16" spans="1:6" ht="13.5" customHeight="1">
      <c r="A16">
        <v>13</v>
      </c>
      <c r="B16" t="s">
        <v>1301</v>
      </c>
      <c r="C16">
        <v>1</v>
      </c>
      <c r="D16">
        <v>2.78</v>
      </c>
      <c r="E16" t="s">
        <v>1302</v>
      </c>
    </row>
    <row r="17" spans="1:5" ht="13.5" customHeight="1">
      <c r="A17">
        <v>14</v>
      </c>
      <c r="B17" t="s">
        <v>1303</v>
      </c>
      <c r="C17">
        <v>1</v>
      </c>
      <c r="D17">
        <v>2.78</v>
      </c>
      <c r="E17" t="s">
        <v>1304</v>
      </c>
    </row>
    <row r="18" spans="1:5" ht="13.5" customHeight="1">
      <c r="A18">
        <v>15</v>
      </c>
      <c r="B18" t="s">
        <v>1305</v>
      </c>
      <c r="C18">
        <v>1</v>
      </c>
      <c r="D18">
        <v>3.33</v>
      </c>
      <c r="E18" t="s">
        <v>1306</v>
      </c>
    </row>
    <row r="19" spans="1:5" ht="13.5" customHeight="1">
      <c r="A19">
        <v>16</v>
      </c>
      <c r="B19" t="s">
        <v>1307</v>
      </c>
      <c r="C19">
        <v>1</v>
      </c>
      <c r="D19">
        <v>3.1</v>
      </c>
      <c r="E19" t="s">
        <v>1308</v>
      </c>
    </row>
    <row r="20" spans="1:5" ht="13.5" customHeight="1">
      <c r="A20">
        <v>17</v>
      </c>
      <c r="B20" t="s">
        <v>1309</v>
      </c>
      <c r="C20">
        <v>1</v>
      </c>
      <c r="D20">
        <v>3.03</v>
      </c>
      <c r="E20" t="s">
        <v>1310</v>
      </c>
    </row>
    <row r="21" spans="1:5" ht="13.5" customHeight="1">
      <c r="A21">
        <v>18</v>
      </c>
      <c r="B21" t="s">
        <v>1311</v>
      </c>
      <c r="C21">
        <v>1</v>
      </c>
      <c r="D21">
        <v>3.03</v>
      </c>
      <c r="E21" t="s">
        <v>1310</v>
      </c>
    </row>
    <row r="22" spans="1:5" ht="13.5" customHeight="1">
      <c r="A22">
        <v>19</v>
      </c>
      <c r="B22" t="s">
        <v>1312</v>
      </c>
      <c r="C22">
        <v>1.1499999999999999</v>
      </c>
      <c r="D22">
        <v>3.53</v>
      </c>
      <c r="E22" t="s">
        <v>1313</v>
      </c>
    </row>
    <row r="23" spans="1:5" ht="13.5" customHeight="1">
      <c r="A23">
        <v>20</v>
      </c>
      <c r="B23" t="s">
        <v>1314</v>
      </c>
      <c r="C23">
        <v>1</v>
      </c>
      <c r="D23">
        <v>3.15</v>
      </c>
      <c r="E23" t="s">
        <v>1315</v>
      </c>
    </row>
    <row r="24" spans="1:5" ht="13.5" customHeight="1">
      <c r="A24">
        <v>21</v>
      </c>
      <c r="B24" t="s">
        <v>1316</v>
      </c>
      <c r="C24">
        <v>1.1499999999999999</v>
      </c>
      <c r="D24">
        <v>3.83</v>
      </c>
      <c r="E24" t="s">
        <v>1317</v>
      </c>
    </row>
    <row r="25" spans="1:5" ht="13.5" customHeight="1">
      <c r="A25">
        <v>22</v>
      </c>
      <c r="B25" t="s">
        <v>1318</v>
      </c>
      <c r="C25">
        <v>1.1499999999999999</v>
      </c>
      <c r="D25">
        <v>3.95</v>
      </c>
      <c r="E25" t="s">
        <v>1319</v>
      </c>
    </row>
    <row r="26" spans="1:5" ht="13.5" customHeight="1">
      <c r="A26">
        <v>23</v>
      </c>
      <c r="B26" t="s">
        <v>1320</v>
      </c>
      <c r="C26">
        <v>1</v>
      </c>
      <c r="D26">
        <v>2.85</v>
      </c>
      <c r="E26" t="s">
        <v>1321</v>
      </c>
    </row>
    <row r="27" spans="1:5" ht="13.5" customHeight="1">
      <c r="A27">
        <v>24</v>
      </c>
      <c r="B27" t="s">
        <v>1322</v>
      </c>
      <c r="C27">
        <v>1</v>
      </c>
      <c r="D27">
        <v>2.9</v>
      </c>
      <c r="E27" t="s">
        <v>1323</v>
      </c>
    </row>
    <row r="28" spans="1:5" ht="13.5" customHeight="1">
      <c r="A28">
        <v>25</v>
      </c>
      <c r="B28" t="s">
        <v>1324</v>
      </c>
      <c r="C28">
        <v>1</v>
      </c>
      <c r="D28">
        <v>2.85</v>
      </c>
      <c r="E28" t="s">
        <v>1325</v>
      </c>
    </row>
    <row r="29" spans="1:5" ht="13.5" customHeight="1">
      <c r="A29">
        <v>26</v>
      </c>
      <c r="B29" t="s">
        <v>1326</v>
      </c>
      <c r="C29">
        <v>1</v>
      </c>
      <c r="D29">
        <v>2.78</v>
      </c>
      <c r="E29" t="s">
        <v>1327</v>
      </c>
    </row>
    <row r="30" spans="1:5" ht="13.5" customHeight="1">
      <c r="A30">
        <v>27</v>
      </c>
      <c r="B30" t="s">
        <v>1328</v>
      </c>
      <c r="C30">
        <v>1</v>
      </c>
      <c r="D30">
        <v>3.23</v>
      </c>
      <c r="E30" t="s">
        <v>1329</v>
      </c>
    </row>
    <row r="31" spans="1:5" ht="13.5" customHeight="1">
      <c r="A31">
        <v>28</v>
      </c>
      <c r="B31" t="s">
        <v>1330</v>
      </c>
      <c r="C31">
        <v>1.1499999999999999</v>
      </c>
      <c r="D31">
        <v>3.48</v>
      </c>
      <c r="E31" t="s">
        <v>1331</v>
      </c>
    </row>
    <row r="32" spans="1:5" ht="13.5" customHeight="1">
      <c r="A32">
        <v>29</v>
      </c>
      <c r="B32" t="s">
        <v>1332</v>
      </c>
      <c r="C32">
        <v>1</v>
      </c>
      <c r="D32">
        <v>3.33</v>
      </c>
      <c r="E32" t="s">
        <v>1333</v>
      </c>
    </row>
    <row r="33" spans="1:5" ht="13.5" customHeight="1">
      <c r="A33">
        <v>30</v>
      </c>
      <c r="B33" t="s">
        <v>1334</v>
      </c>
      <c r="C33">
        <v>1</v>
      </c>
      <c r="D33">
        <v>3.15</v>
      </c>
      <c r="E33" t="s">
        <v>1335</v>
      </c>
    </row>
    <row r="34" spans="1:5" ht="13.5" customHeight="1">
      <c r="A34">
        <v>31</v>
      </c>
      <c r="B34" t="s">
        <v>1336</v>
      </c>
      <c r="C34">
        <v>1</v>
      </c>
      <c r="D34">
        <v>3.35</v>
      </c>
      <c r="E34" t="s">
        <v>1337</v>
      </c>
    </row>
    <row r="35" spans="1:5" ht="13.5" customHeight="1">
      <c r="A35" t="s">
        <v>1338</v>
      </c>
    </row>
  </sheetData>
  <mergeCells count="1">
    <mergeCell ref="A1:F1"/>
  </mergeCells>
  <pageMargins left="0.75" right="0.75" top="1" bottom="1" header="0.511811023622047" footer="0.511811023622047"/>
  <pageSetup paperSize="9" orientation="portrait" horizontalDpi="300" verticalDpi="300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H490"/>
  <sheetViews>
    <sheetView rightToLeft="1" zoomScaleNormal="100" workbookViewId="0">
      <pane ySplit="1" topLeftCell="A2" activePane="bottomLeft" state="frozen"/>
      <selection pane="bottomLeft"/>
    </sheetView>
  </sheetViews>
  <sheetFormatPr baseColWidth="10" defaultColWidth="8.6640625" defaultRowHeight="14"/>
  <cols>
    <col min="1" max="1" width="6" customWidth="1"/>
    <col min="2" max="2" width="34" customWidth="1"/>
    <col min="3" max="3" width="24" customWidth="1"/>
    <col min="4" max="4" width="20" customWidth="1"/>
    <col min="5" max="5" width="16" customWidth="1"/>
    <col min="6" max="6" width="14" customWidth="1"/>
    <col min="7" max="7" width="12" customWidth="1"/>
    <col min="8" max="8" width="40" customWidth="1"/>
  </cols>
  <sheetData>
    <row r="1" spans="1:8" ht="31.5" customHeight="1">
      <c r="A1" s="55" t="s">
        <v>1339</v>
      </c>
      <c r="B1" s="55" t="s">
        <v>1340</v>
      </c>
      <c r="C1" s="55" t="s">
        <v>1341</v>
      </c>
      <c r="D1" s="55" t="s">
        <v>12</v>
      </c>
      <c r="E1" s="55" t="s">
        <v>1342</v>
      </c>
      <c r="F1" s="55" t="s">
        <v>1343</v>
      </c>
      <c r="G1" s="55" t="s">
        <v>1344</v>
      </c>
      <c r="H1" s="55" t="s">
        <v>1345</v>
      </c>
    </row>
    <row r="2" spans="1:8" ht="15" customHeight="1">
      <c r="A2" s="56">
        <v>1</v>
      </c>
      <c r="B2" s="56" t="s">
        <v>1346</v>
      </c>
      <c r="C2" s="56" t="s">
        <v>1347</v>
      </c>
      <c r="D2" s="56" t="s">
        <v>1293</v>
      </c>
      <c r="E2" s="56" t="s">
        <v>1348</v>
      </c>
      <c r="F2" s="56" t="s">
        <v>1213</v>
      </c>
      <c r="G2" s="56" t="s">
        <v>1349</v>
      </c>
      <c r="H2" s="56"/>
    </row>
    <row r="3" spans="1:8" ht="15" customHeight="1">
      <c r="A3" s="56">
        <v>2</v>
      </c>
      <c r="B3" s="56" t="s">
        <v>1350</v>
      </c>
      <c r="C3" s="56" t="s">
        <v>1351</v>
      </c>
      <c r="D3" s="56" t="s">
        <v>1293</v>
      </c>
      <c r="E3" s="56" t="s">
        <v>1352</v>
      </c>
      <c r="F3" s="56" t="s">
        <v>1221</v>
      </c>
      <c r="G3" s="56" t="s">
        <v>1353</v>
      </c>
      <c r="H3" s="56"/>
    </row>
    <row r="4" spans="1:8" ht="15" customHeight="1">
      <c r="A4" s="56">
        <v>3</v>
      </c>
      <c r="B4" s="56" t="s">
        <v>1354</v>
      </c>
      <c r="C4" s="56" t="s">
        <v>1355</v>
      </c>
      <c r="D4" s="56" t="s">
        <v>1293</v>
      </c>
      <c r="E4" s="56" t="s">
        <v>1356</v>
      </c>
      <c r="F4" s="56" t="s">
        <v>1208</v>
      </c>
      <c r="G4" s="56" t="s">
        <v>1357</v>
      </c>
      <c r="H4" s="56"/>
    </row>
    <row r="5" spans="1:8" ht="15" customHeight="1">
      <c r="A5" s="56">
        <v>4</v>
      </c>
      <c r="B5" s="56" t="s">
        <v>1358</v>
      </c>
      <c r="C5" s="56" t="s">
        <v>1359</v>
      </c>
      <c r="D5" s="56" t="s">
        <v>1293</v>
      </c>
      <c r="E5" s="56" t="s">
        <v>1352</v>
      </c>
      <c r="F5" s="56" t="s">
        <v>1221</v>
      </c>
      <c r="G5" s="56" t="s">
        <v>1360</v>
      </c>
      <c r="H5" s="56"/>
    </row>
    <row r="6" spans="1:8" ht="15" customHeight="1">
      <c r="A6" s="56">
        <v>5</v>
      </c>
      <c r="B6" s="56" t="s">
        <v>1361</v>
      </c>
      <c r="C6" s="56" t="s">
        <v>1362</v>
      </c>
      <c r="D6" s="56" t="s">
        <v>1293</v>
      </c>
      <c r="E6" s="56" t="s">
        <v>1356</v>
      </c>
      <c r="F6" s="56" t="s">
        <v>1208</v>
      </c>
      <c r="G6" s="56" t="s">
        <v>1363</v>
      </c>
      <c r="H6" s="56"/>
    </row>
    <row r="7" spans="1:8" ht="15" customHeight="1">
      <c r="A7" s="56">
        <v>6</v>
      </c>
      <c r="B7" s="56" t="s">
        <v>1364</v>
      </c>
      <c r="C7" s="56" t="s">
        <v>1365</v>
      </c>
      <c r="D7" s="56" t="s">
        <v>1293</v>
      </c>
      <c r="E7" s="56" t="s">
        <v>1356</v>
      </c>
      <c r="F7" s="56" t="s">
        <v>1208</v>
      </c>
      <c r="G7" s="56" t="s">
        <v>1363</v>
      </c>
      <c r="H7" s="56"/>
    </row>
    <row r="8" spans="1:8" ht="15" customHeight="1">
      <c r="A8" s="56">
        <v>7</v>
      </c>
      <c r="B8" s="56" t="s">
        <v>1366</v>
      </c>
      <c r="C8" s="56" t="s">
        <v>1367</v>
      </c>
      <c r="D8" s="56" t="s">
        <v>1293</v>
      </c>
      <c r="E8" s="56" t="s">
        <v>1348</v>
      </c>
      <c r="F8" s="56" t="s">
        <v>1213</v>
      </c>
      <c r="G8" s="56" t="s">
        <v>1368</v>
      </c>
      <c r="H8" s="56"/>
    </row>
    <row r="9" spans="1:8" ht="15" customHeight="1">
      <c r="A9" s="56">
        <v>8</v>
      </c>
      <c r="B9" s="56" t="s">
        <v>1369</v>
      </c>
      <c r="C9" s="56" t="s">
        <v>1370</v>
      </c>
      <c r="D9" s="56" t="s">
        <v>1293</v>
      </c>
      <c r="E9" s="56" t="s">
        <v>1348</v>
      </c>
      <c r="F9" s="56" t="s">
        <v>1213</v>
      </c>
      <c r="G9" s="56" t="s">
        <v>1371</v>
      </c>
      <c r="H9" s="56"/>
    </row>
    <row r="10" spans="1:8" ht="15" customHeight="1">
      <c r="A10" s="56">
        <v>9</v>
      </c>
      <c r="B10" s="56" t="s">
        <v>1372</v>
      </c>
      <c r="C10" s="56" t="s">
        <v>1373</v>
      </c>
      <c r="D10" s="56" t="s">
        <v>1293</v>
      </c>
      <c r="E10" s="56" t="s">
        <v>1348</v>
      </c>
      <c r="F10" s="56" t="s">
        <v>1213</v>
      </c>
      <c r="G10" s="56" t="s">
        <v>1371</v>
      </c>
      <c r="H10" s="56"/>
    </row>
    <row r="11" spans="1:8" ht="15" customHeight="1">
      <c r="A11" s="56">
        <v>10</v>
      </c>
      <c r="B11" s="56" t="s">
        <v>1374</v>
      </c>
      <c r="C11" s="56" t="s">
        <v>1375</v>
      </c>
      <c r="D11" s="56" t="s">
        <v>1293</v>
      </c>
      <c r="E11" s="56" t="s">
        <v>1356</v>
      </c>
      <c r="F11" s="56" t="s">
        <v>1208</v>
      </c>
      <c r="G11" s="56" t="s">
        <v>1376</v>
      </c>
      <c r="H11" s="56"/>
    </row>
    <row r="12" spans="1:8" ht="15" customHeight="1">
      <c r="A12" s="56">
        <v>11</v>
      </c>
      <c r="B12" s="56" t="s">
        <v>1377</v>
      </c>
      <c r="C12" s="56" t="s">
        <v>1378</v>
      </c>
      <c r="D12" s="56" t="s">
        <v>1293</v>
      </c>
      <c r="E12" s="56" t="s">
        <v>1356</v>
      </c>
      <c r="F12" s="56" t="s">
        <v>1208</v>
      </c>
      <c r="G12" s="56" t="s">
        <v>1376</v>
      </c>
      <c r="H12" s="56"/>
    </row>
    <row r="13" spans="1:8" ht="15" customHeight="1">
      <c r="A13" s="56">
        <v>12</v>
      </c>
      <c r="B13" s="56" t="s">
        <v>1379</v>
      </c>
      <c r="C13" s="56" t="s">
        <v>1380</v>
      </c>
      <c r="D13" s="56" t="s">
        <v>1293</v>
      </c>
      <c r="E13" s="56" t="s">
        <v>1356</v>
      </c>
      <c r="F13" s="56" t="s">
        <v>1208</v>
      </c>
      <c r="G13" s="56" t="s">
        <v>1376</v>
      </c>
      <c r="H13" s="56"/>
    </row>
    <row r="14" spans="1:8" ht="15" customHeight="1">
      <c r="A14" s="56">
        <v>13</v>
      </c>
      <c r="B14" s="56" t="s">
        <v>1381</v>
      </c>
      <c r="C14" s="56" t="s">
        <v>1382</v>
      </c>
      <c r="D14" s="56" t="s">
        <v>1293</v>
      </c>
      <c r="E14" s="56" t="s">
        <v>1352</v>
      </c>
      <c r="F14" s="56" t="s">
        <v>1221</v>
      </c>
      <c r="G14" s="56" t="s">
        <v>1383</v>
      </c>
      <c r="H14" s="56"/>
    </row>
    <row r="15" spans="1:8" ht="15" customHeight="1">
      <c r="A15" s="56">
        <v>14</v>
      </c>
      <c r="B15" s="56" t="s">
        <v>1384</v>
      </c>
      <c r="C15" s="56" t="s">
        <v>1385</v>
      </c>
      <c r="D15" s="56" t="s">
        <v>1293</v>
      </c>
      <c r="E15" s="56" t="s">
        <v>1348</v>
      </c>
      <c r="F15" s="56" t="s">
        <v>1213</v>
      </c>
      <c r="G15" s="56" t="s">
        <v>1386</v>
      </c>
      <c r="H15" s="56"/>
    </row>
    <row r="16" spans="1:8" ht="15" customHeight="1">
      <c r="A16" s="56">
        <v>15</v>
      </c>
      <c r="B16" s="56" t="s">
        <v>1387</v>
      </c>
      <c r="C16" s="56" t="s">
        <v>1388</v>
      </c>
      <c r="D16" s="56" t="s">
        <v>1293</v>
      </c>
      <c r="E16" s="56" t="s">
        <v>1352</v>
      </c>
      <c r="F16" s="56" t="s">
        <v>1221</v>
      </c>
      <c r="G16" s="56" t="s">
        <v>1389</v>
      </c>
      <c r="H16" s="56"/>
    </row>
    <row r="17" spans="1:8" ht="15" customHeight="1">
      <c r="A17" s="56">
        <v>16</v>
      </c>
      <c r="B17" s="56" t="s">
        <v>1390</v>
      </c>
      <c r="C17" s="56" t="s">
        <v>1391</v>
      </c>
      <c r="D17" s="56" t="s">
        <v>1293</v>
      </c>
      <c r="E17" s="56" t="s">
        <v>1348</v>
      </c>
      <c r="F17" s="56" t="s">
        <v>1213</v>
      </c>
      <c r="G17" s="56" t="s">
        <v>1392</v>
      </c>
      <c r="H17" s="56"/>
    </row>
    <row r="18" spans="1:8" ht="15" customHeight="1">
      <c r="A18" s="56">
        <v>17</v>
      </c>
      <c r="B18" s="56" t="s">
        <v>1393</v>
      </c>
      <c r="C18" s="56" t="s">
        <v>1394</v>
      </c>
      <c r="D18" s="56" t="s">
        <v>1293</v>
      </c>
      <c r="E18" s="56" t="s">
        <v>1356</v>
      </c>
      <c r="F18" s="56" t="s">
        <v>1208</v>
      </c>
      <c r="G18" s="56" t="s">
        <v>1392</v>
      </c>
      <c r="H18" s="56"/>
    </row>
    <row r="19" spans="1:8" ht="15" customHeight="1">
      <c r="A19" s="56">
        <v>18</v>
      </c>
      <c r="B19" s="56" t="s">
        <v>1395</v>
      </c>
      <c r="C19" s="56" t="s">
        <v>1396</v>
      </c>
      <c r="D19" s="56" t="s">
        <v>1293</v>
      </c>
      <c r="E19" s="56" t="s">
        <v>1348</v>
      </c>
      <c r="F19" s="56" t="s">
        <v>1213</v>
      </c>
      <c r="G19" s="56" t="s">
        <v>1397</v>
      </c>
      <c r="H19" s="56"/>
    </row>
    <row r="20" spans="1:8" ht="15" customHeight="1">
      <c r="A20" s="56">
        <v>19</v>
      </c>
      <c r="B20" s="56" t="s">
        <v>1398</v>
      </c>
      <c r="C20" s="56" t="s">
        <v>1399</v>
      </c>
      <c r="D20" s="56" t="s">
        <v>1293</v>
      </c>
      <c r="E20" s="56" t="s">
        <v>1348</v>
      </c>
      <c r="F20" s="56" t="s">
        <v>1213</v>
      </c>
      <c r="G20" s="56" t="s">
        <v>1400</v>
      </c>
      <c r="H20" s="56"/>
    </row>
    <row r="21" spans="1:8" ht="15" customHeight="1">
      <c r="A21" s="56">
        <v>20</v>
      </c>
      <c r="B21" s="56" t="s">
        <v>1401</v>
      </c>
      <c r="C21" s="56" t="s">
        <v>1402</v>
      </c>
      <c r="D21" s="56" t="s">
        <v>1293</v>
      </c>
      <c r="E21" s="56" t="s">
        <v>1348</v>
      </c>
      <c r="F21" s="56" t="s">
        <v>1213</v>
      </c>
      <c r="G21" s="56" t="s">
        <v>1397</v>
      </c>
      <c r="H21" s="56" t="s">
        <v>1403</v>
      </c>
    </row>
    <row r="22" spans="1:8" ht="15" customHeight="1">
      <c r="A22" s="56">
        <v>21</v>
      </c>
      <c r="B22" s="56" t="s">
        <v>1404</v>
      </c>
      <c r="C22" s="56" t="s">
        <v>1405</v>
      </c>
      <c r="D22" s="56" t="s">
        <v>1293</v>
      </c>
      <c r="E22" s="56" t="s">
        <v>1352</v>
      </c>
      <c r="F22" s="56" t="s">
        <v>1221</v>
      </c>
      <c r="G22" s="56" t="s">
        <v>1406</v>
      </c>
      <c r="H22" s="56"/>
    </row>
    <row r="23" spans="1:8" ht="15" customHeight="1">
      <c r="A23" s="56">
        <v>22</v>
      </c>
      <c r="B23" s="56" t="s">
        <v>1407</v>
      </c>
      <c r="C23" s="56" t="s">
        <v>1408</v>
      </c>
      <c r="D23" s="56" t="s">
        <v>1295</v>
      </c>
      <c r="E23" s="56" t="s">
        <v>1352</v>
      </c>
      <c r="F23" s="56" t="s">
        <v>1221</v>
      </c>
      <c r="G23" s="56" t="s">
        <v>1409</v>
      </c>
      <c r="H23" s="56"/>
    </row>
    <row r="24" spans="1:8" ht="15" customHeight="1">
      <c r="A24" s="56">
        <v>23</v>
      </c>
      <c r="B24" s="56" t="s">
        <v>1410</v>
      </c>
      <c r="C24" s="56" t="s">
        <v>1411</v>
      </c>
      <c r="D24" s="56" t="s">
        <v>1295</v>
      </c>
      <c r="E24" s="56" t="s">
        <v>1348</v>
      </c>
      <c r="F24" s="56" t="s">
        <v>1213</v>
      </c>
      <c r="G24" s="56" t="s">
        <v>1409</v>
      </c>
      <c r="H24" s="56"/>
    </row>
    <row r="25" spans="1:8" ht="15" customHeight="1">
      <c r="A25" s="56">
        <v>24</v>
      </c>
      <c r="B25" s="56" t="s">
        <v>1412</v>
      </c>
      <c r="C25" s="56" t="s">
        <v>1413</v>
      </c>
      <c r="D25" s="56" t="s">
        <v>1295</v>
      </c>
      <c r="E25" s="56" t="s">
        <v>1352</v>
      </c>
      <c r="F25" s="56" t="s">
        <v>1221</v>
      </c>
      <c r="G25" s="56" t="s">
        <v>1360</v>
      </c>
      <c r="H25" s="56"/>
    </row>
    <row r="26" spans="1:8" ht="15" customHeight="1">
      <c r="A26" s="56">
        <v>25</v>
      </c>
      <c r="B26" s="56" t="s">
        <v>1414</v>
      </c>
      <c r="C26" s="56" t="s">
        <v>1415</v>
      </c>
      <c r="D26" s="56" t="s">
        <v>1295</v>
      </c>
      <c r="E26" s="56" t="s">
        <v>1416</v>
      </c>
      <c r="F26" s="56" t="s">
        <v>1230</v>
      </c>
      <c r="G26" s="56" t="s">
        <v>1363</v>
      </c>
      <c r="H26" s="56"/>
    </row>
    <row r="27" spans="1:8" ht="15" customHeight="1">
      <c r="A27" s="56">
        <v>26</v>
      </c>
      <c r="B27" s="56" t="s">
        <v>1417</v>
      </c>
      <c r="C27" s="56" t="s">
        <v>1418</v>
      </c>
      <c r="D27" s="56" t="s">
        <v>1295</v>
      </c>
      <c r="E27" s="56" t="s">
        <v>1348</v>
      </c>
      <c r="F27" s="56" t="s">
        <v>1213</v>
      </c>
      <c r="G27" s="56" t="s">
        <v>1419</v>
      </c>
      <c r="H27" s="56"/>
    </row>
    <row r="28" spans="1:8" ht="15" customHeight="1">
      <c r="A28" s="56">
        <v>27</v>
      </c>
      <c r="B28" s="56" t="s">
        <v>1420</v>
      </c>
      <c r="C28" s="56" t="s">
        <v>1421</v>
      </c>
      <c r="D28" s="56" t="s">
        <v>1295</v>
      </c>
      <c r="E28" s="56" t="s">
        <v>1348</v>
      </c>
      <c r="F28" s="56" t="s">
        <v>1213</v>
      </c>
      <c r="G28" s="56" t="s">
        <v>1422</v>
      </c>
      <c r="H28" s="56"/>
    </row>
    <row r="29" spans="1:8" ht="15" customHeight="1">
      <c r="A29" s="56">
        <v>28</v>
      </c>
      <c r="B29" s="56" t="s">
        <v>1423</v>
      </c>
      <c r="C29" s="56" t="s">
        <v>1424</v>
      </c>
      <c r="D29" s="56" t="s">
        <v>1295</v>
      </c>
      <c r="E29" s="56" t="s">
        <v>1352</v>
      </c>
      <c r="F29" s="56" t="s">
        <v>1221</v>
      </c>
      <c r="G29" s="56" t="s">
        <v>1425</v>
      </c>
      <c r="H29" s="56"/>
    </row>
    <row r="30" spans="1:8" ht="15" customHeight="1">
      <c r="A30" s="56">
        <v>29</v>
      </c>
      <c r="B30" s="56" t="s">
        <v>1426</v>
      </c>
      <c r="C30" s="56" t="s">
        <v>1427</v>
      </c>
      <c r="D30" s="56" t="s">
        <v>1295</v>
      </c>
      <c r="E30" s="56" t="s">
        <v>1356</v>
      </c>
      <c r="F30" s="56" t="s">
        <v>1208</v>
      </c>
      <c r="G30" s="56" t="s">
        <v>1425</v>
      </c>
      <c r="H30" s="56"/>
    </row>
    <row r="31" spans="1:8" ht="15" customHeight="1">
      <c r="A31" s="56">
        <v>30</v>
      </c>
      <c r="B31" s="56" t="s">
        <v>1428</v>
      </c>
      <c r="C31" s="56" t="s">
        <v>1429</v>
      </c>
      <c r="D31" s="56" t="s">
        <v>1295</v>
      </c>
      <c r="E31" s="56" t="s">
        <v>1348</v>
      </c>
      <c r="F31" s="56" t="s">
        <v>1213</v>
      </c>
      <c r="G31" s="56" t="s">
        <v>1425</v>
      </c>
      <c r="H31" s="56"/>
    </row>
    <row r="32" spans="1:8" ht="15" customHeight="1">
      <c r="A32" s="56">
        <v>31</v>
      </c>
      <c r="B32" s="56" t="s">
        <v>1430</v>
      </c>
      <c r="C32" s="56" t="s">
        <v>1431</v>
      </c>
      <c r="D32" s="56" t="s">
        <v>1295</v>
      </c>
      <c r="E32" s="56" t="s">
        <v>1352</v>
      </c>
      <c r="F32" s="56" t="s">
        <v>1221</v>
      </c>
      <c r="G32" s="56" t="s">
        <v>1432</v>
      </c>
      <c r="H32" s="56"/>
    </row>
    <row r="33" spans="1:8" ht="15" customHeight="1">
      <c r="A33" s="56">
        <v>32</v>
      </c>
      <c r="B33" s="56" t="s">
        <v>1433</v>
      </c>
      <c r="C33" s="56" t="s">
        <v>1434</v>
      </c>
      <c r="D33" s="56" t="s">
        <v>1295</v>
      </c>
      <c r="E33" s="56" t="s">
        <v>1348</v>
      </c>
      <c r="F33" s="56" t="s">
        <v>1213</v>
      </c>
      <c r="G33" s="56" t="s">
        <v>1386</v>
      </c>
      <c r="H33" s="56"/>
    </row>
    <row r="34" spans="1:8" ht="15" customHeight="1">
      <c r="A34" s="56">
        <v>33</v>
      </c>
      <c r="B34" s="56" t="s">
        <v>1435</v>
      </c>
      <c r="C34" s="56" t="s">
        <v>1436</v>
      </c>
      <c r="D34" s="56" t="s">
        <v>1295</v>
      </c>
      <c r="E34" s="56" t="s">
        <v>1356</v>
      </c>
      <c r="F34" s="56" t="s">
        <v>1208</v>
      </c>
      <c r="G34" s="56" t="s">
        <v>1406</v>
      </c>
      <c r="H34" s="56"/>
    </row>
    <row r="35" spans="1:8" ht="15" customHeight="1">
      <c r="A35" s="56">
        <v>34</v>
      </c>
      <c r="B35" s="56" t="s">
        <v>1437</v>
      </c>
      <c r="C35" s="56" t="s">
        <v>1438</v>
      </c>
      <c r="D35" s="56" t="s">
        <v>1295</v>
      </c>
      <c r="E35" s="56" t="s">
        <v>1348</v>
      </c>
      <c r="F35" s="56" t="s">
        <v>1213</v>
      </c>
      <c r="G35" s="56" t="s">
        <v>1439</v>
      </c>
      <c r="H35" s="56"/>
    </row>
    <row r="36" spans="1:8" ht="15" customHeight="1">
      <c r="A36" s="56">
        <v>35</v>
      </c>
      <c r="B36" s="56" t="s">
        <v>1440</v>
      </c>
      <c r="C36" s="56" t="s">
        <v>1441</v>
      </c>
      <c r="D36" s="56" t="s">
        <v>1295</v>
      </c>
      <c r="E36" s="56" t="s">
        <v>1352</v>
      </c>
      <c r="F36" s="56" t="s">
        <v>1221</v>
      </c>
      <c r="G36" s="56" t="s">
        <v>1392</v>
      </c>
      <c r="H36" s="56"/>
    </row>
    <row r="37" spans="1:8" ht="15" customHeight="1">
      <c r="A37" s="56">
        <v>36</v>
      </c>
      <c r="B37" s="56" t="s">
        <v>1442</v>
      </c>
      <c r="C37" s="56" t="s">
        <v>1443</v>
      </c>
      <c r="D37" s="56" t="s">
        <v>1295</v>
      </c>
      <c r="E37" s="56" t="s">
        <v>1352</v>
      </c>
      <c r="F37" s="56" t="s">
        <v>1221</v>
      </c>
      <c r="G37" s="56" t="s">
        <v>1392</v>
      </c>
      <c r="H37" s="56"/>
    </row>
    <row r="38" spans="1:8" ht="15" customHeight="1">
      <c r="A38" s="56">
        <v>37</v>
      </c>
      <c r="B38" s="56" t="s">
        <v>1444</v>
      </c>
      <c r="C38" s="56" t="s">
        <v>1445</v>
      </c>
      <c r="D38" s="56" t="s">
        <v>1295</v>
      </c>
      <c r="E38" s="56" t="s">
        <v>1348</v>
      </c>
      <c r="F38" s="56" t="s">
        <v>1213</v>
      </c>
      <c r="G38" s="56" t="s">
        <v>1397</v>
      </c>
      <c r="H38" s="56"/>
    </row>
    <row r="39" spans="1:8" ht="15" customHeight="1">
      <c r="A39" s="56">
        <v>38</v>
      </c>
      <c r="B39" s="56" t="s">
        <v>1446</v>
      </c>
      <c r="C39" s="56" t="s">
        <v>1447</v>
      </c>
      <c r="D39" s="56" t="s">
        <v>1295</v>
      </c>
      <c r="E39" s="56" t="s">
        <v>1348</v>
      </c>
      <c r="F39" s="56" t="s">
        <v>1213</v>
      </c>
      <c r="G39" s="56" t="s">
        <v>1363</v>
      </c>
      <c r="H39" s="56"/>
    </row>
    <row r="40" spans="1:8" ht="15" customHeight="1">
      <c r="A40" s="56">
        <v>39</v>
      </c>
      <c r="B40" s="56" t="s">
        <v>1448</v>
      </c>
      <c r="C40" s="56" t="s">
        <v>1449</v>
      </c>
      <c r="D40" s="56" t="s">
        <v>1295</v>
      </c>
      <c r="E40" s="56" t="s">
        <v>1348</v>
      </c>
      <c r="F40" s="56" t="s">
        <v>1213</v>
      </c>
      <c r="G40" s="56" t="s">
        <v>1363</v>
      </c>
      <c r="H40" s="56"/>
    </row>
    <row r="41" spans="1:8" ht="15" customHeight="1">
      <c r="A41" s="56">
        <v>40</v>
      </c>
      <c r="B41" s="56" t="s">
        <v>1450</v>
      </c>
      <c r="C41" s="56" t="s">
        <v>1451</v>
      </c>
      <c r="D41" s="56" t="s">
        <v>1295</v>
      </c>
      <c r="E41" s="56" t="s">
        <v>1352</v>
      </c>
      <c r="F41" s="56" t="s">
        <v>1221</v>
      </c>
      <c r="G41" s="56" t="s">
        <v>1406</v>
      </c>
      <c r="H41" s="56"/>
    </row>
    <row r="42" spans="1:8" ht="15" customHeight="1">
      <c r="A42" s="56">
        <v>41</v>
      </c>
      <c r="B42" s="56" t="s">
        <v>1452</v>
      </c>
      <c r="C42" s="56" t="s">
        <v>1289</v>
      </c>
      <c r="D42" s="56" t="s">
        <v>1289</v>
      </c>
      <c r="E42" s="56" t="s">
        <v>1348</v>
      </c>
      <c r="F42" s="56" t="s">
        <v>1213</v>
      </c>
      <c r="G42" s="56" t="s">
        <v>1409</v>
      </c>
      <c r="H42" s="56"/>
    </row>
    <row r="43" spans="1:8" ht="15" customHeight="1">
      <c r="A43" s="56">
        <v>42</v>
      </c>
      <c r="B43" s="56" t="s">
        <v>1453</v>
      </c>
      <c r="C43" s="56" t="s">
        <v>1454</v>
      </c>
      <c r="D43" s="56" t="s">
        <v>1289</v>
      </c>
      <c r="E43" s="56" t="s">
        <v>1348</v>
      </c>
      <c r="F43" s="56" t="s">
        <v>1213</v>
      </c>
      <c r="G43" s="56" t="s">
        <v>1409</v>
      </c>
      <c r="H43" s="56"/>
    </row>
    <row r="44" spans="1:8" ht="15" customHeight="1">
      <c r="A44" s="56">
        <v>43</v>
      </c>
      <c r="B44" s="56" t="s">
        <v>1455</v>
      </c>
      <c r="C44" s="56" t="s">
        <v>1456</v>
      </c>
      <c r="D44" s="56" t="s">
        <v>1289</v>
      </c>
      <c r="E44" s="56" t="s">
        <v>1352</v>
      </c>
      <c r="F44" s="56" t="s">
        <v>1221</v>
      </c>
      <c r="G44" s="56" t="s">
        <v>1457</v>
      </c>
      <c r="H44" s="56"/>
    </row>
    <row r="45" spans="1:8" ht="15" customHeight="1">
      <c r="A45" s="56">
        <v>44</v>
      </c>
      <c r="B45" s="56" t="s">
        <v>1458</v>
      </c>
      <c r="C45" s="56" t="s">
        <v>1459</v>
      </c>
      <c r="D45" s="56" t="s">
        <v>1289</v>
      </c>
      <c r="E45" s="56" t="s">
        <v>1348</v>
      </c>
      <c r="F45" s="56" t="s">
        <v>1213</v>
      </c>
      <c r="G45" s="56" t="s">
        <v>1460</v>
      </c>
      <c r="H45" s="56"/>
    </row>
    <row r="46" spans="1:8" ht="15" customHeight="1">
      <c r="A46" s="56">
        <v>45</v>
      </c>
      <c r="B46" s="56" t="s">
        <v>1461</v>
      </c>
      <c r="C46" s="56" t="s">
        <v>1462</v>
      </c>
      <c r="D46" s="56" t="s">
        <v>1289</v>
      </c>
      <c r="E46" s="56" t="s">
        <v>1348</v>
      </c>
      <c r="F46" s="56" t="s">
        <v>1213</v>
      </c>
      <c r="G46" s="56" t="s">
        <v>1425</v>
      </c>
      <c r="H46" s="56"/>
    </row>
    <row r="47" spans="1:8" ht="15" customHeight="1">
      <c r="A47" s="56">
        <v>46</v>
      </c>
      <c r="B47" s="56" t="s">
        <v>1463</v>
      </c>
      <c r="C47" s="56" t="s">
        <v>1464</v>
      </c>
      <c r="D47" s="56" t="s">
        <v>1289</v>
      </c>
      <c r="E47" s="56" t="s">
        <v>1356</v>
      </c>
      <c r="F47" s="56" t="s">
        <v>1208</v>
      </c>
      <c r="G47" s="56" t="s">
        <v>1465</v>
      </c>
      <c r="H47" s="56"/>
    </row>
    <row r="48" spans="1:8" ht="15" customHeight="1">
      <c r="A48" s="56">
        <v>47</v>
      </c>
      <c r="B48" s="56" t="s">
        <v>1466</v>
      </c>
      <c r="C48" s="56" t="s">
        <v>1467</v>
      </c>
      <c r="D48" s="56" t="s">
        <v>1289</v>
      </c>
      <c r="E48" s="56" t="s">
        <v>1348</v>
      </c>
      <c r="F48" s="56" t="s">
        <v>1213</v>
      </c>
      <c r="G48" s="56" t="s">
        <v>1439</v>
      </c>
      <c r="H48" s="56"/>
    </row>
    <row r="49" spans="1:8" ht="15" customHeight="1">
      <c r="A49" s="56">
        <v>48</v>
      </c>
      <c r="B49" s="56" t="s">
        <v>1468</v>
      </c>
      <c r="C49" s="56" t="s">
        <v>1469</v>
      </c>
      <c r="D49" s="56" t="s">
        <v>1289</v>
      </c>
      <c r="E49" s="56" t="s">
        <v>1348</v>
      </c>
      <c r="F49" s="56" t="s">
        <v>1213</v>
      </c>
      <c r="G49" s="56" t="s">
        <v>1392</v>
      </c>
      <c r="H49" s="56"/>
    </row>
    <row r="50" spans="1:8" ht="15" customHeight="1">
      <c r="A50" s="56">
        <v>49</v>
      </c>
      <c r="B50" s="56" t="s">
        <v>1470</v>
      </c>
      <c r="C50" s="56" t="s">
        <v>1471</v>
      </c>
      <c r="D50" s="56" t="s">
        <v>1289</v>
      </c>
      <c r="E50" s="56" t="s">
        <v>1348</v>
      </c>
      <c r="F50" s="56" t="s">
        <v>1213</v>
      </c>
      <c r="G50" s="56" t="s">
        <v>1397</v>
      </c>
      <c r="H50" s="56"/>
    </row>
    <row r="51" spans="1:8" ht="15" customHeight="1">
      <c r="A51" s="56">
        <v>50</v>
      </c>
      <c r="B51" s="56" t="s">
        <v>1472</v>
      </c>
      <c r="C51" s="56" t="s">
        <v>1473</v>
      </c>
      <c r="D51" s="56" t="s">
        <v>1289</v>
      </c>
      <c r="E51" s="56" t="s">
        <v>1348</v>
      </c>
      <c r="F51" s="56" t="s">
        <v>1213</v>
      </c>
      <c r="G51" s="56" t="s">
        <v>1397</v>
      </c>
      <c r="H51" s="56"/>
    </row>
    <row r="52" spans="1:8" ht="15" customHeight="1">
      <c r="A52" s="56">
        <v>51</v>
      </c>
      <c r="B52" s="56" t="s">
        <v>1474</v>
      </c>
      <c r="C52" s="56" t="s">
        <v>1475</v>
      </c>
      <c r="D52" s="56" t="s">
        <v>1289</v>
      </c>
      <c r="E52" s="56" t="s">
        <v>1356</v>
      </c>
      <c r="F52" s="56" t="s">
        <v>1208</v>
      </c>
      <c r="G52" s="56" t="s">
        <v>1400</v>
      </c>
      <c r="H52" s="56"/>
    </row>
    <row r="53" spans="1:8" ht="15" customHeight="1">
      <c r="A53" s="56">
        <v>52</v>
      </c>
      <c r="B53" s="56" t="s">
        <v>1476</v>
      </c>
      <c r="C53" s="56" t="s">
        <v>1477</v>
      </c>
      <c r="D53" s="56" t="s">
        <v>1289</v>
      </c>
      <c r="E53" s="56" t="s">
        <v>1352</v>
      </c>
      <c r="F53" s="56" t="s">
        <v>1221</v>
      </c>
      <c r="G53" s="56" t="s">
        <v>1457</v>
      </c>
      <c r="H53" s="56"/>
    </row>
    <row r="54" spans="1:8" ht="15" customHeight="1">
      <c r="A54" s="56">
        <v>53</v>
      </c>
      <c r="B54" s="56" t="s">
        <v>1478</v>
      </c>
      <c r="C54" s="56" t="s">
        <v>1479</v>
      </c>
      <c r="D54" s="56" t="s">
        <v>1289</v>
      </c>
      <c r="E54" s="56" t="s">
        <v>1356</v>
      </c>
      <c r="F54" s="56" t="s">
        <v>1208</v>
      </c>
      <c r="G54" s="56" t="s">
        <v>1406</v>
      </c>
      <c r="H54" s="56"/>
    </row>
    <row r="55" spans="1:8" ht="15" customHeight="1">
      <c r="A55" s="56">
        <v>54</v>
      </c>
      <c r="B55" s="56" t="s">
        <v>1480</v>
      </c>
      <c r="C55" s="56" t="s">
        <v>1481</v>
      </c>
      <c r="D55" s="56" t="s">
        <v>1289</v>
      </c>
      <c r="E55" s="56" t="s">
        <v>1348</v>
      </c>
      <c r="F55" s="56" t="s">
        <v>1213</v>
      </c>
      <c r="G55" s="56" t="s">
        <v>1482</v>
      </c>
      <c r="H55" s="56"/>
    </row>
    <row r="56" spans="1:8" ht="15" customHeight="1">
      <c r="A56" s="56">
        <v>55</v>
      </c>
      <c r="B56" s="56" t="s">
        <v>1483</v>
      </c>
      <c r="C56" s="56" t="s">
        <v>1484</v>
      </c>
      <c r="D56" s="56" t="s">
        <v>1289</v>
      </c>
      <c r="E56" s="56" t="s">
        <v>1348</v>
      </c>
      <c r="F56" s="56" t="s">
        <v>1213</v>
      </c>
      <c r="G56" s="56" t="s">
        <v>1439</v>
      </c>
      <c r="H56" s="56"/>
    </row>
    <row r="57" spans="1:8" ht="15" customHeight="1">
      <c r="A57" s="56">
        <v>56</v>
      </c>
      <c r="B57" s="56" t="s">
        <v>1485</v>
      </c>
      <c r="C57" s="56" t="s">
        <v>1486</v>
      </c>
      <c r="D57" s="56" t="s">
        <v>1324</v>
      </c>
      <c r="E57" s="56" t="s">
        <v>1348</v>
      </c>
      <c r="F57" s="56" t="s">
        <v>1213</v>
      </c>
      <c r="G57" s="56" t="s">
        <v>1349</v>
      </c>
      <c r="H57" s="56"/>
    </row>
    <row r="58" spans="1:8" ht="15" customHeight="1">
      <c r="A58" s="56">
        <v>57</v>
      </c>
      <c r="B58" s="56" t="s">
        <v>1487</v>
      </c>
      <c r="C58" s="56" t="s">
        <v>1488</v>
      </c>
      <c r="D58" s="56" t="s">
        <v>1324</v>
      </c>
      <c r="E58" s="56" t="s">
        <v>1348</v>
      </c>
      <c r="F58" s="56" t="s">
        <v>1213</v>
      </c>
      <c r="G58" s="56" t="s">
        <v>1409</v>
      </c>
      <c r="H58" s="56"/>
    </row>
    <row r="59" spans="1:8" ht="15" customHeight="1">
      <c r="A59" s="56">
        <v>58</v>
      </c>
      <c r="B59" s="56" t="s">
        <v>1489</v>
      </c>
      <c r="C59" s="56" t="s">
        <v>1490</v>
      </c>
      <c r="D59" s="56" t="s">
        <v>1324</v>
      </c>
      <c r="E59" s="56" t="s">
        <v>1348</v>
      </c>
      <c r="F59" s="56" t="s">
        <v>1213</v>
      </c>
      <c r="G59" s="56" t="s">
        <v>1409</v>
      </c>
      <c r="H59" s="56"/>
    </row>
    <row r="60" spans="1:8" ht="15" customHeight="1">
      <c r="A60" s="56">
        <v>59</v>
      </c>
      <c r="B60" s="56" t="s">
        <v>1491</v>
      </c>
      <c r="C60" s="56" t="s">
        <v>1324</v>
      </c>
      <c r="D60" s="56" t="s">
        <v>1324</v>
      </c>
      <c r="E60" s="56" t="s">
        <v>1352</v>
      </c>
      <c r="F60" s="56" t="s">
        <v>1221</v>
      </c>
      <c r="G60" s="56" t="s">
        <v>1409</v>
      </c>
      <c r="H60" s="56"/>
    </row>
    <row r="61" spans="1:8" ht="15" customHeight="1">
      <c r="A61" s="56">
        <v>60</v>
      </c>
      <c r="B61" s="56" t="s">
        <v>1492</v>
      </c>
      <c r="C61" s="56" t="s">
        <v>1493</v>
      </c>
      <c r="D61" s="56" t="s">
        <v>1324</v>
      </c>
      <c r="E61" s="56" t="s">
        <v>1416</v>
      </c>
      <c r="F61" s="56" t="s">
        <v>1230</v>
      </c>
      <c r="G61" s="56" t="s">
        <v>1353</v>
      </c>
      <c r="H61" s="56"/>
    </row>
    <row r="62" spans="1:8" ht="15" customHeight="1">
      <c r="A62" s="56">
        <v>61</v>
      </c>
      <c r="B62" s="56" t="s">
        <v>1494</v>
      </c>
      <c r="C62" s="56" t="s">
        <v>1495</v>
      </c>
      <c r="D62" s="56" t="s">
        <v>1324</v>
      </c>
      <c r="E62" s="56" t="s">
        <v>1416</v>
      </c>
      <c r="F62" s="56" t="s">
        <v>1230</v>
      </c>
      <c r="G62" s="56" t="s">
        <v>1357</v>
      </c>
      <c r="H62" s="56"/>
    </row>
    <row r="63" spans="1:8" ht="15" customHeight="1">
      <c r="A63" s="56">
        <v>62</v>
      </c>
      <c r="B63" s="56" t="s">
        <v>1496</v>
      </c>
      <c r="C63" s="56" t="s">
        <v>1497</v>
      </c>
      <c r="D63" s="56" t="s">
        <v>1324</v>
      </c>
      <c r="E63" s="56" t="s">
        <v>1416</v>
      </c>
      <c r="F63" s="56" t="s">
        <v>1230</v>
      </c>
      <c r="G63" s="56" t="s">
        <v>1363</v>
      </c>
      <c r="H63" s="56"/>
    </row>
    <row r="64" spans="1:8" ht="15" customHeight="1">
      <c r="A64" s="56">
        <v>63</v>
      </c>
      <c r="B64" s="56" t="s">
        <v>1498</v>
      </c>
      <c r="C64" s="56" t="s">
        <v>1499</v>
      </c>
      <c r="D64" s="56" t="s">
        <v>1324</v>
      </c>
      <c r="E64" s="56" t="s">
        <v>1348</v>
      </c>
      <c r="F64" s="56" t="s">
        <v>1213</v>
      </c>
      <c r="G64" s="56" t="s">
        <v>1500</v>
      </c>
      <c r="H64" s="56"/>
    </row>
    <row r="65" spans="1:8" ht="15" customHeight="1">
      <c r="A65" s="56">
        <v>64</v>
      </c>
      <c r="B65" s="56" t="s">
        <v>1501</v>
      </c>
      <c r="C65" s="56" t="s">
        <v>1502</v>
      </c>
      <c r="D65" s="56" t="s">
        <v>1324</v>
      </c>
      <c r="E65" s="56" t="s">
        <v>1352</v>
      </c>
      <c r="F65" s="56" t="s">
        <v>1221</v>
      </c>
      <c r="G65" s="56" t="s">
        <v>1419</v>
      </c>
      <c r="H65" s="56"/>
    </row>
    <row r="66" spans="1:8" ht="15" customHeight="1">
      <c r="A66" s="56">
        <v>65</v>
      </c>
      <c r="B66" s="56" t="s">
        <v>1503</v>
      </c>
      <c r="C66" s="56" t="s">
        <v>1504</v>
      </c>
      <c r="D66" s="56" t="s">
        <v>1324</v>
      </c>
      <c r="E66" s="56" t="s">
        <v>1352</v>
      </c>
      <c r="F66" s="56" t="s">
        <v>1221</v>
      </c>
      <c r="G66" s="56" t="s">
        <v>1419</v>
      </c>
      <c r="H66" s="56"/>
    </row>
    <row r="67" spans="1:8" ht="15" customHeight="1">
      <c r="A67" s="56">
        <v>66</v>
      </c>
      <c r="B67" s="56" t="s">
        <v>1505</v>
      </c>
      <c r="C67" s="56" t="s">
        <v>1506</v>
      </c>
      <c r="D67" s="56" t="s">
        <v>1324</v>
      </c>
      <c r="E67" s="56" t="s">
        <v>1352</v>
      </c>
      <c r="F67" s="56" t="s">
        <v>1221</v>
      </c>
      <c r="G67" s="56" t="s">
        <v>1419</v>
      </c>
      <c r="H67" s="56"/>
    </row>
    <row r="68" spans="1:8" ht="15" customHeight="1">
      <c r="A68" s="56">
        <v>67</v>
      </c>
      <c r="B68" s="56" t="s">
        <v>1507</v>
      </c>
      <c r="C68" s="56" t="s">
        <v>1508</v>
      </c>
      <c r="D68" s="56" t="s">
        <v>1324</v>
      </c>
      <c r="E68" s="56" t="s">
        <v>1352</v>
      </c>
      <c r="F68" s="56" t="s">
        <v>1221</v>
      </c>
      <c r="G68" s="56" t="s">
        <v>1509</v>
      </c>
      <c r="H68" s="56"/>
    </row>
    <row r="69" spans="1:8" ht="15" customHeight="1">
      <c r="A69" s="56">
        <v>68</v>
      </c>
      <c r="B69" s="56" t="s">
        <v>1510</v>
      </c>
      <c r="C69" s="56" t="s">
        <v>1511</v>
      </c>
      <c r="D69" s="56" t="s">
        <v>1324</v>
      </c>
      <c r="E69" s="56" t="s">
        <v>1348</v>
      </c>
      <c r="F69" s="56" t="s">
        <v>1213</v>
      </c>
      <c r="G69" s="56" t="s">
        <v>1371</v>
      </c>
      <c r="H69" s="56"/>
    </row>
    <row r="70" spans="1:8" ht="15" customHeight="1">
      <c r="A70" s="56">
        <v>69</v>
      </c>
      <c r="B70" s="56" t="s">
        <v>1512</v>
      </c>
      <c r="C70" s="56" t="s">
        <v>1513</v>
      </c>
      <c r="D70" s="56" t="s">
        <v>1324</v>
      </c>
      <c r="E70" s="56" t="s">
        <v>1352</v>
      </c>
      <c r="F70" s="56" t="s">
        <v>1221</v>
      </c>
      <c r="G70" s="56" t="s">
        <v>1371</v>
      </c>
      <c r="H70" s="56"/>
    </row>
    <row r="71" spans="1:8" ht="15" customHeight="1">
      <c r="A71" s="56">
        <v>70</v>
      </c>
      <c r="B71" s="56" t="s">
        <v>1514</v>
      </c>
      <c r="C71" s="56" t="s">
        <v>1515</v>
      </c>
      <c r="D71" s="56" t="s">
        <v>1324</v>
      </c>
      <c r="E71" s="56" t="s">
        <v>1348</v>
      </c>
      <c r="F71" s="56" t="s">
        <v>1213</v>
      </c>
      <c r="G71" s="56" t="s">
        <v>1425</v>
      </c>
      <c r="H71" s="56"/>
    </row>
    <row r="72" spans="1:8" ht="15" customHeight="1">
      <c r="A72" s="56">
        <v>71</v>
      </c>
      <c r="B72" s="56" t="s">
        <v>1516</v>
      </c>
      <c r="C72" s="56" t="s">
        <v>1517</v>
      </c>
      <c r="D72" s="56" t="s">
        <v>1324</v>
      </c>
      <c r="E72" s="56" t="s">
        <v>1348</v>
      </c>
      <c r="F72" s="56" t="s">
        <v>1213</v>
      </c>
      <c r="G72" s="56" t="s">
        <v>1376</v>
      </c>
      <c r="H72" s="56"/>
    </row>
    <row r="73" spans="1:8" ht="15" customHeight="1">
      <c r="A73" s="56">
        <v>72</v>
      </c>
      <c r="B73" s="56" t="s">
        <v>1518</v>
      </c>
      <c r="C73" s="56" t="s">
        <v>1519</v>
      </c>
      <c r="D73" s="56" t="s">
        <v>1324</v>
      </c>
      <c r="E73" s="56" t="s">
        <v>1348</v>
      </c>
      <c r="F73" s="56" t="s">
        <v>1213</v>
      </c>
      <c r="G73" s="56" t="s">
        <v>1376</v>
      </c>
      <c r="H73" s="56"/>
    </row>
    <row r="74" spans="1:8" ht="15" customHeight="1">
      <c r="A74" s="56">
        <v>73</v>
      </c>
      <c r="B74" s="56" t="s">
        <v>1520</v>
      </c>
      <c r="C74" s="56" t="s">
        <v>1521</v>
      </c>
      <c r="D74" s="56" t="s">
        <v>1324</v>
      </c>
      <c r="E74" s="56" t="s">
        <v>1352</v>
      </c>
      <c r="F74" s="56" t="s">
        <v>1221</v>
      </c>
      <c r="G74" s="56" t="s">
        <v>1465</v>
      </c>
      <c r="H74" s="56"/>
    </row>
    <row r="75" spans="1:8" ht="15" customHeight="1">
      <c r="A75" s="56">
        <v>74</v>
      </c>
      <c r="B75" s="56" t="s">
        <v>1522</v>
      </c>
      <c r="C75" s="56" t="s">
        <v>1523</v>
      </c>
      <c r="D75" s="56" t="s">
        <v>1324</v>
      </c>
      <c r="E75" s="56" t="s">
        <v>1348</v>
      </c>
      <c r="F75" s="56" t="s">
        <v>1213</v>
      </c>
      <c r="G75" s="56" t="s">
        <v>1465</v>
      </c>
      <c r="H75" s="56"/>
    </row>
    <row r="76" spans="1:8" ht="15" customHeight="1">
      <c r="A76" s="56">
        <v>75</v>
      </c>
      <c r="B76" s="56" t="s">
        <v>1524</v>
      </c>
      <c r="C76" s="56" t="s">
        <v>1525</v>
      </c>
      <c r="D76" s="56" t="s">
        <v>1324</v>
      </c>
      <c r="E76" s="56" t="s">
        <v>1348</v>
      </c>
      <c r="F76" s="56" t="s">
        <v>1213</v>
      </c>
      <c r="G76" s="56" t="s">
        <v>1465</v>
      </c>
      <c r="H76" s="56"/>
    </row>
    <row r="77" spans="1:8" ht="15" customHeight="1">
      <c r="A77" s="56">
        <v>76</v>
      </c>
      <c r="B77" s="56" t="s">
        <v>1526</v>
      </c>
      <c r="C77" s="56" t="s">
        <v>1527</v>
      </c>
      <c r="D77" s="56" t="s">
        <v>1324</v>
      </c>
      <c r="E77" s="56" t="s">
        <v>1348</v>
      </c>
      <c r="F77" s="56" t="s">
        <v>1213</v>
      </c>
      <c r="G77" s="56" t="s">
        <v>1406</v>
      </c>
      <c r="H77" s="56"/>
    </row>
    <row r="78" spans="1:8" ht="15" customHeight="1">
      <c r="A78" s="56">
        <v>77</v>
      </c>
      <c r="B78" s="56" t="s">
        <v>1528</v>
      </c>
      <c r="C78" s="56" t="s">
        <v>1529</v>
      </c>
      <c r="D78" s="56" t="s">
        <v>1324</v>
      </c>
      <c r="E78" s="56" t="s">
        <v>1348</v>
      </c>
      <c r="F78" s="56" t="s">
        <v>1213</v>
      </c>
      <c r="G78" s="56" t="s">
        <v>1439</v>
      </c>
      <c r="H78" s="56"/>
    </row>
    <row r="79" spans="1:8" ht="15" customHeight="1">
      <c r="A79" s="56">
        <v>78</v>
      </c>
      <c r="B79" s="56" t="s">
        <v>1530</v>
      </c>
      <c r="C79" s="56" t="s">
        <v>1531</v>
      </c>
      <c r="D79" s="56" t="s">
        <v>1324</v>
      </c>
      <c r="E79" s="56" t="s">
        <v>1416</v>
      </c>
      <c r="F79" s="56" t="s">
        <v>1230</v>
      </c>
      <c r="G79" s="56" t="s">
        <v>1532</v>
      </c>
      <c r="H79" s="56"/>
    </row>
    <row r="80" spans="1:8" ht="15" customHeight="1">
      <c r="A80" s="56">
        <v>79</v>
      </c>
      <c r="B80" s="56" t="s">
        <v>1533</v>
      </c>
      <c r="C80" s="56" t="s">
        <v>1534</v>
      </c>
      <c r="D80" s="56" t="s">
        <v>1324</v>
      </c>
      <c r="E80" s="56" t="s">
        <v>1348</v>
      </c>
      <c r="F80" s="56" t="s">
        <v>1213</v>
      </c>
      <c r="G80" s="56" t="s">
        <v>1532</v>
      </c>
      <c r="H80" s="56"/>
    </row>
    <row r="81" spans="1:8" ht="15" customHeight="1">
      <c r="A81" s="56">
        <v>80</v>
      </c>
      <c r="B81" s="56" t="s">
        <v>1535</v>
      </c>
      <c r="C81" s="56" t="s">
        <v>1536</v>
      </c>
      <c r="D81" s="56" t="s">
        <v>1324</v>
      </c>
      <c r="E81" s="56" t="s">
        <v>1352</v>
      </c>
      <c r="F81" s="56" t="s">
        <v>1221</v>
      </c>
      <c r="G81" s="56" t="s">
        <v>1397</v>
      </c>
      <c r="H81" s="56"/>
    </row>
    <row r="82" spans="1:8" ht="15" customHeight="1">
      <c r="A82" s="56">
        <v>81</v>
      </c>
      <c r="B82" s="56" t="s">
        <v>1537</v>
      </c>
      <c r="C82" s="56" t="s">
        <v>1538</v>
      </c>
      <c r="D82" s="56" t="s">
        <v>1324</v>
      </c>
      <c r="E82" s="56" t="s">
        <v>1348</v>
      </c>
      <c r="F82" s="56" t="s">
        <v>1213</v>
      </c>
      <c r="G82" s="56" t="s">
        <v>1397</v>
      </c>
      <c r="H82" s="56"/>
    </row>
    <row r="83" spans="1:8" ht="15" customHeight="1">
      <c r="A83" s="56">
        <v>82</v>
      </c>
      <c r="B83" s="56" t="s">
        <v>1539</v>
      </c>
      <c r="C83" s="56" t="s">
        <v>1540</v>
      </c>
      <c r="D83" s="56" t="s">
        <v>1324</v>
      </c>
      <c r="E83" s="56" t="s">
        <v>1352</v>
      </c>
      <c r="F83" s="56" t="s">
        <v>1221</v>
      </c>
      <c r="G83" s="56" t="s">
        <v>1397</v>
      </c>
      <c r="H83" s="56"/>
    </row>
    <row r="84" spans="1:8" ht="15" customHeight="1">
      <c r="A84" s="56">
        <v>83</v>
      </c>
      <c r="B84" s="56" t="s">
        <v>1541</v>
      </c>
      <c r="C84" s="56" t="s">
        <v>1542</v>
      </c>
      <c r="D84" s="56" t="s">
        <v>1324</v>
      </c>
      <c r="E84" s="56" t="s">
        <v>1348</v>
      </c>
      <c r="F84" s="56" t="s">
        <v>1213</v>
      </c>
      <c r="G84" s="56" t="s">
        <v>1500</v>
      </c>
      <c r="H84" s="56"/>
    </row>
    <row r="85" spans="1:8" ht="15" customHeight="1">
      <c r="A85" s="56">
        <v>84</v>
      </c>
      <c r="B85" s="56" t="s">
        <v>1543</v>
      </c>
      <c r="C85" s="56" t="s">
        <v>1544</v>
      </c>
      <c r="D85" s="56" t="s">
        <v>1324</v>
      </c>
      <c r="E85" s="56" t="s">
        <v>1348</v>
      </c>
      <c r="F85" s="56" t="s">
        <v>1213</v>
      </c>
      <c r="G85" s="56" t="s">
        <v>1500</v>
      </c>
      <c r="H85" s="56"/>
    </row>
    <row r="86" spans="1:8" ht="15" customHeight="1">
      <c r="A86" s="56">
        <v>85</v>
      </c>
      <c r="B86" s="56" t="s">
        <v>1545</v>
      </c>
      <c r="C86" s="56" t="s">
        <v>1546</v>
      </c>
      <c r="D86" s="56" t="s">
        <v>1324</v>
      </c>
      <c r="E86" s="56" t="s">
        <v>1348</v>
      </c>
      <c r="F86" s="56" t="s">
        <v>1213</v>
      </c>
      <c r="G86" s="56" t="s">
        <v>1406</v>
      </c>
      <c r="H86" s="56"/>
    </row>
    <row r="87" spans="1:8" ht="15" customHeight="1">
      <c r="A87" s="56">
        <v>86</v>
      </c>
      <c r="B87" s="56" t="s">
        <v>1547</v>
      </c>
      <c r="C87" s="56" t="s">
        <v>1548</v>
      </c>
      <c r="D87" s="56" t="s">
        <v>1324</v>
      </c>
      <c r="E87" s="56" t="s">
        <v>1348</v>
      </c>
      <c r="F87" s="56" t="s">
        <v>1213</v>
      </c>
      <c r="G87" s="56" t="s">
        <v>1549</v>
      </c>
      <c r="H87" s="56"/>
    </row>
    <row r="88" spans="1:8" ht="15" customHeight="1">
      <c r="A88" s="56">
        <v>87</v>
      </c>
      <c r="B88" s="56" t="s">
        <v>1550</v>
      </c>
      <c r="C88" s="56" t="s">
        <v>1551</v>
      </c>
      <c r="D88" s="56" t="s">
        <v>1324</v>
      </c>
      <c r="E88" s="56" t="s">
        <v>1416</v>
      </c>
      <c r="F88" s="56" t="s">
        <v>1230</v>
      </c>
      <c r="G88" s="56" t="s">
        <v>1482</v>
      </c>
      <c r="H88" s="56"/>
    </row>
    <row r="89" spans="1:8" ht="15" customHeight="1">
      <c r="A89" s="56">
        <v>88</v>
      </c>
      <c r="B89" s="56" t="s">
        <v>1552</v>
      </c>
      <c r="C89" s="56" t="s">
        <v>1553</v>
      </c>
      <c r="D89" s="56" t="s">
        <v>1303</v>
      </c>
      <c r="E89" s="56" t="s">
        <v>1352</v>
      </c>
      <c r="F89" s="56" t="s">
        <v>1221</v>
      </c>
      <c r="G89" s="56" t="s">
        <v>1349</v>
      </c>
      <c r="H89" s="56"/>
    </row>
    <row r="90" spans="1:8" ht="15" customHeight="1">
      <c r="A90" s="56">
        <v>89</v>
      </c>
      <c r="B90" s="56" t="s">
        <v>1554</v>
      </c>
      <c r="C90" s="56" t="s">
        <v>1303</v>
      </c>
      <c r="D90" s="56" t="s">
        <v>1303</v>
      </c>
      <c r="E90" s="56" t="s">
        <v>1352</v>
      </c>
      <c r="F90" s="56" t="s">
        <v>1221</v>
      </c>
      <c r="G90" s="56" t="s">
        <v>1357</v>
      </c>
      <c r="H90" s="56"/>
    </row>
    <row r="91" spans="1:8" ht="15" customHeight="1">
      <c r="A91" s="56">
        <v>90</v>
      </c>
      <c r="B91" s="56" t="s">
        <v>1555</v>
      </c>
      <c r="C91" s="56" t="s">
        <v>1556</v>
      </c>
      <c r="D91" s="56" t="s">
        <v>1303</v>
      </c>
      <c r="E91" s="56" t="s">
        <v>1352</v>
      </c>
      <c r="F91" s="56" t="s">
        <v>1221</v>
      </c>
      <c r="G91" s="56" t="s">
        <v>1357</v>
      </c>
      <c r="H91" s="56"/>
    </row>
    <row r="92" spans="1:8" ht="15" customHeight="1">
      <c r="A92" s="56">
        <v>91</v>
      </c>
      <c r="B92" s="56" t="s">
        <v>1557</v>
      </c>
      <c r="C92" s="56" t="s">
        <v>1558</v>
      </c>
      <c r="D92" s="56" t="s">
        <v>1303</v>
      </c>
      <c r="E92" s="56" t="s">
        <v>1416</v>
      </c>
      <c r="F92" s="56" t="s">
        <v>1230</v>
      </c>
      <c r="G92" s="56" t="s">
        <v>1419</v>
      </c>
      <c r="H92" s="56"/>
    </row>
    <row r="93" spans="1:8" ht="15" customHeight="1">
      <c r="A93" s="56">
        <v>92</v>
      </c>
      <c r="B93" s="56" t="s">
        <v>1559</v>
      </c>
      <c r="C93" s="56" t="s">
        <v>1560</v>
      </c>
      <c r="D93" s="56" t="s">
        <v>1303</v>
      </c>
      <c r="E93" s="56" t="s">
        <v>1416</v>
      </c>
      <c r="F93" s="56" t="s">
        <v>1230</v>
      </c>
      <c r="G93" s="56" t="s">
        <v>1419</v>
      </c>
      <c r="H93" s="56"/>
    </row>
    <row r="94" spans="1:8" ht="15" customHeight="1">
      <c r="A94" s="56">
        <v>93</v>
      </c>
      <c r="B94" s="56" t="s">
        <v>1561</v>
      </c>
      <c r="C94" s="56" t="s">
        <v>1562</v>
      </c>
      <c r="D94" s="56" t="s">
        <v>1303</v>
      </c>
      <c r="E94" s="56" t="s">
        <v>1352</v>
      </c>
      <c r="F94" s="56" t="s">
        <v>1221</v>
      </c>
      <c r="G94" s="56" t="s">
        <v>1509</v>
      </c>
      <c r="H94" s="56"/>
    </row>
    <row r="95" spans="1:8" ht="15" customHeight="1">
      <c r="A95" s="56">
        <v>94</v>
      </c>
      <c r="B95" s="56" t="s">
        <v>1563</v>
      </c>
      <c r="C95" s="56" t="s">
        <v>1564</v>
      </c>
      <c r="D95" s="56" t="s">
        <v>1303</v>
      </c>
      <c r="E95" s="56" t="s">
        <v>1352</v>
      </c>
      <c r="F95" s="56" t="s">
        <v>1221</v>
      </c>
      <c r="G95" s="56" t="s">
        <v>1392</v>
      </c>
      <c r="H95" s="56" t="s">
        <v>1403</v>
      </c>
    </row>
    <row r="96" spans="1:8" ht="15" customHeight="1">
      <c r="A96" s="56">
        <v>95</v>
      </c>
      <c r="B96" s="56" t="s">
        <v>1565</v>
      </c>
      <c r="C96" s="56" t="s">
        <v>1566</v>
      </c>
      <c r="D96" s="56" t="s">
        <v>1303</v>
      </c>
      <c r="E96" s="56" t="s">
        <v>1352</v>
      </c>
      <c r="F96" s="56" t="s">
        <v>1221</v>
      </c>
      <c r="G96" s="56" t="s">
        <v>1392</v>
      </c>
      <c r="H96" s="56"/>
    </row>
    <row r="97" spans="1:8" ht="15" customHeight="1">
      <c r="A97" s="56">
        <v>96</v>
      </c>
      <c r="B97" s="56" t="s">
        <v>1567</v>
      </c>
      <c r="C97" s="56" t="s">
        <v>1568</v>
      </c>
      <c r="D97" s="56" t="s">
        <v>1312</v>
      </c>
      <c r="E97" s="56" t="s">
        <v>1416</v>
      </c>
      <c r="F97" s="56" t="s">
        <v>1230</v>
      </c>
      <c r="G97" s="56" t="s">
        <v>1353</v>
      </c>
      <c r="H97" s="56"/>
    </row>
    <row r="98" spans="1:8" ht="15" customHeight="1">
      <c r="A98" s="56">
        <v>97</v>
      </c>
      <c r="B98" s="56" t="s">
        <v>1569</v>
      </c>
      <c r="C98" s="56" t="s">
        <v>1570</v>
      </c>
      <c r="D98" s="56" t="s">
        <v>1312</v>
      </c>
      <c r="E98" s="56" t="s">
        <v>1348</v>
      </c>
      <c r="F98" s="56" t="s">
        <v>1213</v>
      </c>
      <c r="G98" s="56" t="s">
        <v>1357</v>
      </c>
      <c r="H98" s="56"/>
    </row>
    <row r="99" spans="1:8" ht="15" customHeight="1">
      <c r="A99" s="56">
        <v>98</v>
      </c>
      <c r="B99" s="56" t="s">
        <v>1571</v>
      </c>
      <c r="C99" s="56" t="s">
        <v>1572</v>
      </c>
      <c r="D99" s="56" t="s">
        <v>1312</v>
      </c>
      <c r="E99" s="56" t="s">
        <v>1348</v>
      </c>
      <c r="F99" s="56" t="s">
        <v>1213</v>
      </c>
      <c r="G99" s="56" t="s">
        <v>1360</v>
      </c>
      <c r="H99" s="56"/>
    </row>
    <row r="100" spans="1:8" ht="15" customHeight="1">
      <c r="A100" s="56">
        <v>99</v>
      </c>
      <c r="B100" s="56" t="s">
        <v>1573</v>
      </c>
      <c r="C100" s="56" t="s">
        <v>1574</v>
      </c>
      <c r="D100" s="56" t="s">
        <v>1312</v>
      </c>
      <c r="E100" s="56" t="s">
        <v>1352</v>
      </c>
      <c r="F100" s="56" t="s">
        <v>1221</v>
      </c>
      <c r="G100" s="56" t="s">
        <v>1360</v>
      </c>
      <c r="H100" s="56"/>
    </row>
    <row r="101" spans="1:8" ht="15" customHeight="1">
      <c r="A101" s="56">
        <v>100</v>
      </c>
      <c r="B101" s="56" t="s">
        <v>1575</v>
      </c>
      <c r="C101" s="56" t="s">
        <v>1576</v>
      </c>
      <c r="D101" s="56" t="s">
        <v>1312</v>
      </c>
      <c r="E101" s="56" t="s">
        <v>1348</v>
      </c>
      <c r="F101" s="56" t="s">
        <v>1213</v>
      </c>
      <c r="G101" s="56" t="s">
        <v>1360</v>
      </c>
      <c r="H101" s="56"/>
    </row>
    <row r="102" spans="1:8" ht="15" customHeight="1">
      <c r="A102" s="56">
        <v>101</v>
      </c>
      <c r="B102" s="56" t="s">
        <v>1577</v>
      </c>
      <c r="C102" s="56" t="s">
        <v>1578</v>
      </c>
      <c r="D102" s="56" t="s">
        <v>1312</v>
      </c>
      <c r="E102" s="56" t="s">
        <v>1348</v>
      </c>
      <c r="F102" s="56" t="s">
        <v>1213</v>
      </c>
      <c r="G102" s="56" t="s">
        <v>1360</v>
      </c>
      <c r="H102" s="56"/>
    </row>
    <row r="103" spans="1:8" ht="15" customHeight="1">
      <c r="A103" s="56">
        <v>102</v>
      </c>
      <c r="B103" s="56" t="s">
        <v>1579</v>
      </c>
      <c r="C103" s="56" t="s">
        <v>1580</v>
      </c>
      <c r="D103" s="56" t="s">
        <v>1312</v>
      </c>
      <c r="E103" s="56" t="s">
        <v>1348</v>
      </c>
      <c r="F103" s="56" t="s">
        <v>1213</v>
      </c>
      <c r="G103" s="56" t="s">
        <v>1360</v>
      </c>
      <c r="H103" s="56"/>
    </row>
    <row r="104" spans="1:8" ht="15" customHeight="1">
      <c r="A104" s="56">
        <v>103</v>
      </c>
      <c r="B104" s="56" t="s">
        <v>1581</v>
      </c>
      <c r="C104" s="56" t="s">
        <v>1582</v>
      </c>
      <c r="D104" s="56" t="s">
        <v>1312</v>
      </c>
      <c r="E104" s="56" t="s">
        <v>1352</v>
      </c>
      <c r="F104" s="56" t="s">
        <v>1221</v>
      </c>
      <c r="G104" s="56" t="s">
        <v>1360</v>
      </c>
      <c r="H104" s="56"/>
    </row>
    <row r="105" spans="1:8" ht="15" customHeight="1">
      <c r="A105" s="56">
        <v>104</v>
      </c>
      <c r="B105" s="56" t="s">
        <v>1583</v>
      </c>
      <c r="C105" s="56" t="s">
        <v>1312</v>
      </c>
      <c r="D105" s="56" t="s">
        <v>1312</v>
      </c>
      <c r="E105" s="56" t="s">
        <v>1352</v>
      </c>
      <c r="F105" s="56" t="s">
        <v>1221</v>
      </c>
      <c r="G105" s="56" t="s">
        <v>1360</v>
      </c>
      <c r="H105" s="56"/>
    </row>
    <row r="106" spans="1:8" ht="15" customHeight="1">
      <c r="A106" s="56">
        <v>105</v>
      </c>
      <c r="B106" s="56" t="s">
        <v>1584</v>
      </c>
      <c r="C106" s="56" t="s">
        <v>1585</v>
      </c>
      <c r="D106" s="56" t="s">
        <v>1312</v>
      </c>
      <c r="E106" s="56" t="s">
        <v>1348</v>
      </c>
      <c r="F106" s="56" t="s">
        <v>1213</v>
      </c>
      <c r="G106" s="56" t="s">
        <v>1368</v>
      </c>
      <c r="H106" s="56"/>
    </row>
    <row r="107" spans="1:8" ht="15" customHeight="1">
      <c r="A107" s="56">
        <v>106</v>
      </c>
      <c r="B107" s="56" t="s">
        <v>1586</v>
      </c>
      <c r="C107" s="56" t="s">
        <v>1587</v>
      </c>
      <c r="D107" s="56" t="s">
        <v>1312</v>
      </c>
      <c r="E107" s="56" t="s">
        <v>1352</v>
      </c>
      <c r="F107" s="56" t="s">
        <v>1221</v>
      </c>
      <c r="G107" s="56" t="s">
        <v>1500</v>
      </c>
      <c r="H107" s="56"/>
    </row>
    <row r="108" spans="1:8" ht="15" customHeight="1">
      <c r="A108" s="56">
        <v>107</v>
      </c>
      <c r="B108" s="56" t="s">
        <v>1588</v>
      </c>
      <c r="C108" s="56" t="s">
        <v>1589</v>
      </c>
      <c r="D108" s="56" t="s">
        <v>1312</v>
      </c>
      <c r="E108" s="56" t="s">
        <v>1352</v>
      </c>
      <c r="F108" s="56" t="s">
        <v>1221</v>
      </c>
      <c r="G108" s="56" t="s">
        <v>1419</v>
      </c>
      <c r="H108" s="56"/>
    </row>
    <row r="109" spans="1:8" ht="15" customHeight="1">
      <c r="A109" s="56">
        <v>108</v>
      </c>
      <c r="B109" s="56" t="s">
        <v>1590</v>
      </c>
      <c r="C109" s="56" t="s">
        <v>1591</v>
      </c>
      <c r="D109" s="56" t="s">
        <v>1312</v>
      </c>
      <c r="E109" s="56" t="s">
        <v>1352</v>
      </c>
      <c r="F109" s="56" t="s">
        <v>1221</v>
      </c>
      <c r="G109" s="56" t="s">
        <v>1419</v>
      </c>
      <c r="H109" s="56"/>
    </row>
    <row r="110" spans="1:8" ht="15" customHeight="1">
      <c r="A110" s="56">
        <v>109</v>
      </c>
      <c r="B110" s="56" t="s">
        <v>1592</v>
      </c>
      <c r="C110" s="56" t="s">
        <v>1593</v>
      </c>
      <c r="D110" s="56" t="s">
        <v>1312</v>
      </c>
      <c r="E110" s="56" t="s">
        <v>1416</v>
      </c>
      <c r="F110" s="56" t="s">
        <v>1230</v>
      </c>
      <c r="G110" s="56" t="s">
        <v>1419</v>
      </c>
      <c r="H110" s="56"/>
    </row>
    <row r="111" spans="1:8" ht="15" customHeight="1">
      <c r="A111" s="56">
        <v>110</v>
      </c>
      <c r="B111" s="56" t="s">
        <v>1594</v>
      </c>
      <c r="C111" s="56" t="s">
        <v>1595</v>
      </c>
      <c r="D111" s="56" t="s">
        <v>1312</v>
      </c>
      <c r="E111" s="56" t="s">
        <v>1352</v>
      </c>
      <c r="F111" s="56" t="s">
        <v>1221</v>
      </c>
      <c r="G111" s="56" t="s">
        <v>1596</v>
      </c>
      <c r="H111" s="56"/>
    </row>
    <row r="112" spans="1:8" ht="15" customHeight="1">
      <c r="A112" s="56">
        <v>111</v>
      </c>
      <c r="B112" s="56" t="s">
        <v>1597</v>
      </c>
      <c r="C112" s="56" t="s">
        <v>1598</v>
      </c>
      <c r="D112" s="56" t="s">
        <v>1312</v>
      </c>
      <c r="E112" s="56" t="s">
        <v>1348</v>
      </c>
      <c r="F112" s="56" t="s">
        <v>1213</v>
      </c>
      <c r="G112" s="56" t="s">
        <v>1376</v>
      </c>
      <c r="H112" s="56"/>
    </row>
    <row r="113" spans="1:8" ht="15" customHeight="1">
      <c r="A113" s="56">
        <v>112</v>
      </c>
      <c r="B113" s="56" t="s">
        <v>1599</v>
      </c>
      <c r="C113" s="56" t="s">
        <v>1600</v>
      </c>
      <c r="D113" s="56" t="s">
        <v>1312</v>
      </c>
      <c r="E113" s="56" t="s">
        <v>1348</v>
      </c>
      <c r="F113" s="56" t="s">
        <v>1213</v>
      </c>
      <c r="G113" s="56" t="s">
        <v>1376</v>
      </c>
      <c r="H113" s="56"/>
    </row>
    <row r="114" spans="1:8" ht="15" customHeight="1">
      <c r="A114" s="56">
        <v>113</v>
      </c>
      <c r="B114" s="56" t="s">
        <v>1601</v>
      </c>
      <c r="C114" s="56" t="s">
        <v>1602</v>
      </c>
      <c r="D114" s="56" t="s">
        <v>1312</v>
      </c>
      <c r="E114" s="56" t="s">
        <v>1356</v>
      </c>
      <c r="F114" s="56" t="s">
        <v>1208</v>
      </c>
      <c r="G114" s="56" t="s">
        <v>1465</v>
      </c>
      <c r="H114" s="56"/>
    </row>
    <row r="115" spans="1:8" ht="15" customHeight="1">
      <c r="A115" s="56">
        <v>114</v>
      </c>
      <c r="B115" s="56" t="s">
        <v>1603</v>
      </c>
      <c r="C115" s="56" t="s">
        <v>1604</v>
      </c>
      <c r="D115" s="56" t="s">
        <v>1312</v>
      </c>
      <c r="E115" s="56" t="s">
        <v>1348</v>
      </c>
      <c r="F115" s="56" t="s">
        <v>1213</v>
      </c>
      <c r="G115" s="56" t="s">
        <v>1605</v>
      </c>
      <c r="H115" s="56"/>
    </row>
    <row r="116" spans="1:8" ht="15" customHeight="1">
      <c r="A116" s="56">
        <v>115</v>
      </c>
      <c r="B116" s="56" t="s">
        <v>1606</v>
      </c>
      <c r="C116" s="56" t="s">
        <v>1607</v>
      </c>
      <c r="D116" s="56" t="s">
        <v>1312</v>
      </c>
      <c r="E116" s="56" t="s">
        <v>1416</v>
      </c>
      <c r="F116" s="56" t="s">
        <v>1230</v>
      </c>
      <c r="G116" s="56" t="s">
        <v>1482</v>
      </c>
      <c r="H116" s="56"/>
    </row>
    <row r="117" spans="1:8" ht="15" customHeight="1">
      <c r="A117" s="56">
        <v>116</v>
      </c>
      <c r="B117" s="56" t="s">
        <v>1608</v>
      </c>
      <c r="C117" s="56" t="s">
        <v>1609</v>
      </c>
      <c r="D117" s="56" t="s">
        <v>1278</v>
      </c>
      <c r="E117" s="56" t="s">
        <v>1356</v>
      </c>
      <c r="F117" s="56" t="s">
        <v>1208</v>
      </c>
      <c r="G117" s="56" t="s">
        <v>1409</v>
      </c>
      <c r="H117" s="56"/>
    </row>
    <row r="118" spans="1:8" ht="15" customHeight="1">
      <c r="A118" s="56">
        <v>117</v>
      </c>
      <c r="B118" s="56" t="s">
        <v>1610</v>
      </c>
      <c r="C118" s="56" t="s">
        <v>1611</v>
      </c>
      <c r="D118" s="56" t="s">
        <v>1278</v>
      </c>
      <c r="E118" s="56" t="s">
        <v>1356</v>
      </c>
      <c r="F118" s="56" t="s">
        <v>1208</v>
      </c>
      <c r="G118" s="56" t="s">
        <v>1409</v>
      </c>
      <c r="H118" s="56"/>
    </row>
    <row r="119" spans="1:8" ht="15" customHeight="1">
      <c r="A119" s="56">
        <v>118</v>
      </c>
      <c r="B119" s="56" t="s">
        <v>1612</v>
      </c>
      <c r="C119" s="56" t="s">
        <v>1613</v>
      </c>
      <c r="D119" s="56" t="s">
        <v>1278</v>
      </c>
      <c r="E119" s="56" t="s">
        <v>1356</v>
      </c>
      <c r="F119" s="56" t="s">
        <v>1208</v>
      </c>
      <c r="G119" s="56" t="s">
        <v>1360</v>
      </c>
      <c r="H119" s="56"/>
    </row>
    <row r="120" spans="1:8" ht="15" customHeight="1">
      <c r="A120" s="56">
        <v>119</v>
      </c>
      <c r="B120" s="56" t="s">
        <v>1614</v>
      </c>
      <c r="C120" s="56" t="s">
        <v>1278</v>
      </c>
      <c r="D120" s="56" t="s">
        <v>1278</v>
      </c>
      <c r="E120" s="56" t="s">
        <v>1356</v>
      </c>
      <c r="F120" s="56" t="s">
        <v>1208</v>
      </c>
      <c r="G120" s="56" t="s">
        <v>1363</v>
      </c>
      <c r="H120" s="56"/>
    </row>
    <row r="121" spans="1:8" ht="15" customHeight="1">
      <c r="A121" s="56">
        <v>120</v>
      </c>
      <c r="B121" s="56" t="s">
        <v>1615</v>
      </c>
      <c r="C121" s="56" t="s">
        <v>1616</v>
      </c>
      <c r="D121" s="56" t="s">
        <v>1278</v>
      </c>
      <c r="E121" s="56" t="s">
        <v>1348</v>
      </c>
      <c r="F121" s="56" t="s">
        <v>1213</v>
      </c>
      <c r="G121" s="56" t="s">
        <v>1500</v>
      </c>
      <c r="H121" s="56"/>
    </row>
    <row r="122" spans="1:8" ht="15" customHeight="1">
      <c r="A122" s="56">
        <v>121</v>
      </c>
      <c r="B122" s="56" t="s">
        <v>1617</v>
      </c>
      <c r="C122" s="56" t="s">
        <v>1618</v>
      </c>
      <c r="D122" s="56" t="s">
        <v>1278</v>
      </c>
      <c r="E122" s="56" t="s">
        <v>1356</v>
      </c>
      <c r="F122" s="56" t="s">
        <v>1208</v>
      </c>
      <c r="G122" s="56" t="s">
        <v>1419</v>
      </c>
      <c r="H122" s="56"/>
    </row>
    <row r="123" spans="1:8" ht="15" customHeight="1">
      <c r="A123" s="56">
        <v>122</v>
      </c>
      <c r="B123" s="56" t="s">
        <v>1619</v>
      </c>
      <c r="C123" s="56" t="s">
        <v>1620</v>
      </c>
      <c r="D123" s="56" t="s">
        <v>1278</v>
      </c>
      <c r="E123" s="56" t="s">
        <v>1356</v>
      </c>
      <c r="F123" s="56" t="s">
        <v>1208</v>
      </c>
      <c r="G123" s="56" t="s">
        <v>1621</v>
      </c>
      <c r="H123" s="56"/>
    </row>
    <row r="124" spans="1:8" ht="15" customHeight="1">
      <c r="A124" s="56">
        <v>123</v>
      </c>
      <c r="B124" s="56" t="s">
        <v>1622</v>
      </c>
      <c r="C124" s="56" t="s">
        <v>1623</v>
      </c>
      <c r="D124" s="56" t="s">
        <v>1278</v>
      </c>
      <c r="E124" s="56" t="s">
        <v>1356</v>
      </c>
      <c r="F124" s="56" t="s">
        <v>1208</v>
      </c>
      <c r="G124" s="56" t="s">
        <v>1621</v>
      </c>
      <c r="H124" s="56"/>
    </row>
    <row r="125" spans="1:8" ht="15" customHeight="1">
      <c r="A125" s="56">
        <v>124</v>
      </c>
      <c r="B125" s="56" t="s">
        <v>1624</v>
      </c>
      <c r="C125" s="56" t="s">
        <v>1625</v>
      </c>
      <c r="D125" s="56" t="s">
        <v>1278</v>
      </c>
      <c r="E125" s="56" t="s">
        <v>1356</v>
      </c>
      <c r="F125" s="56" t="s">
        <v>1208</v>
      </c>
      <c r="G125" s="56" t="s">
        <v>1621</v>
      </c>
      <c r="H125" s="56"/>
    </row>
    <row r="126" spans="1:8" ht="15" customHeight="1">
      <c r="A126" s="56">
        <v>125</v>
      </c>
      <c r="B126" s="56" t="s">
        <v>1626</v>
      </c>
      <c r="C126" s="56" t="s">
        <v>1627</v>
      </c>
      <c r="D126" s="56" t="s">
        <v>1278</v>
      </c>
      <c r="E126" s="56" t="s">
        <v>1356</v>
      </c>
      <c r="F126" s="56" t="s">
        <v>1208</v>
      </c>
      <c r="G126" s="56" t="s">
        <v>1596</v>
      </c>
      <c r="H126" s="56"/>
    </row>
    <row r="127" spans="1:8" ht="15" customHeight="1">
      <c r="A127" s="56">
        <v>126</v>
      </c>
      <c r="B127" s="56" t="s">
        <v>1628</v>
      </c>
      <c r="C127" s="56" t="s">
        <v>1629</v>
      </c>
      <c r="D127" s="56" t="s">
        <v>1278</v>
      </c>
      <c r="E127" s="56" t="s">
        <v>1356</v>
      </c>
      <c r="F127" s="56" t="s">
        <v>1208</v>
      </c>
      <c r="G127" s="56" t="s">
        <v>1371</v>
      </c>
      <c r="H127" s="56"/>
    </row>
    <row r="128" spans="1:8" ht="15" customHeight="1">
      <c r="A128" s="56">
        <v>127</v>
      </c>
      <c r="B128" s="56" t="s">
        <v>1630</v>
      </c>
      <c r="C128" s="56" t="s">
        <v>1631</v>
      </c>
      <c r="D128" s="56" t="s">
        <v>1278</v>
      </c>
      <c r="E128" s="56" t="s">
        <v>1356</v>
      </c>
      <c r="F128" s="56" t="s">
        <v>1208</v>
      </c>
      <c r="G128" s="56" t="s">
        <v>1425</v>
      </c>
      <c r="H128" s="56"/>
    </row>
    <row r="129" spans="1:8" ht="15" customHeight="1">
      <c r="A129" s="56">
        <v>128</v>
      </c>
      <c r="B129" s="56" t="s">
        <v>1632</v>
      </c>
      <c r="C129" s="56" t="s">
        <v>1633</v>
      </c>
      <c r="D129" s="56" t="s">
        <v>1278</v>
      </c>
      <c r="E129" s="56" t="s">
        <v>1348</v>
      </c>
      <c r="F129" s="56" t="s">
        <v>1213</v>
      </c>
      <c r="G129" s="56" t="s">
        <v>1376</v>
      </c>
      <c r="H129" s="56"/>
    </row>
    <row r="130" spans="1:8" ht="15" customHeight="1">
      <c r="A130" s="56">
        <v>129</v>
      </c>
      <c r="B130" s="56" t="s">
        <v>1634</v>
      </c>
      <c r="C130" s="56" t="s">
        <v>1635</v>
      </c>
      <c r="D130" s="56" t="s">
        <v>1278</v>
      </c>
      <c r="E130" s="56" t="s">
        <v>1356</v>
      </c>
      <c r="F130" s="56" t="s">
        <v>1208</v>
      </c>
      <c r="G130" s="56" t="s">
        <v>1376</v>
      </c>
      <c r="H130" s="56"/>
    </row>
    <row r="131" spans="1:8" ht="15" customHeight="1">
      <c r="A131" s="56">
        <v>130</v>
      </c>
      <c r="B131" s="56" t="s">
        <v>1636</v>
      </c>
      <c r="C131" s="56" t="s">
        <v>1637</v>
      </c>
      <c r="D131" s="56" t="s">
        <v>1278</v>
      </c>
      <c r="E131" s="56" t="s">
        <v>1356</v>
      </c>
      <c r="F131" s="56" t="s">
        <v>1208</v>
      </c>
      <c r="G131" s="56" t="s">
        <v>1376</v>
      </c>
      <c r="H131" s="56"/>
    </row>
    <row r="132" spans="1:8" ht="15" customHeight="1">
      <c r="A132" s="56">
        <v>131</v>
      </c>
      <c r="B132" s="56" t="s">
        <v>1638</v>
      </c>
      <c r="C132" s="56" t="s">
        <v>1639</v>
      </c>
      <c r="D132" s="56" t="s">
        <v>1278</v>
      </c>
      <c r="E132" s="56" t="s">
        <v>1356</v>
      </c>
      <c r="F132" s="56" t="s">
        <v>1208</v>
      </c>
      <c r="G132" s="56" t="s">
        <v>1465</v>
      </c>
      <c r="H132" s="56"/>
    </row>
    <row r="133" spans="1:8" ht="15" customHeight="1">
      <c r="A133" s="56">
        <v>132</v>
      </c>
      <c r="B133" s="56" t="s">
        <v>1640</v>
      </c>
      <c r="C133" s="56" t="s">
        <v>1641</v>
      </c>
      <c r="D133" s="56" t="s">
        <v>1278</v>
      </c>
      <c r="E133" s="56" t="s">
        <v>1356</v>
      </c>
      <c r="F133" s="56" t="s">
        <v>1208</v>
      </c>
      <c r="G133" s="56" t="s">
        <v>1465</v>
      </c>
      <c r="H133" s="56"/>
    </row>
    <row r="134" spans="1:8" ht="15" customHeight="1">
      <c r="A134" s="56">
        <v>133</v>
      </c>
      <c r="B134" s="56" t="s">
        <v>1642</v>
      </c>
      <c r="C134" s="56" t="s">
        <v>1643</v>
      </c>
      <c r="D134" s="56" t="s">
        <v>1278</v>
      </c>
      <c r="E134" s="56" t="s">
        <v>1356</v>
      </c>
      <c r="F134" s="56" t="s">
        <v>1208</v>
      </c>
      <c r="G134" s="56" t="s">
        <v>1439</v>
      </c>
      <c r="H134" s="56"/>
    </row>
    <row r="135" spans="1:8" ht="15" customHeight="1">
      <c r="A135" s="56">
        <v>134</v>
      </c>
      <c r="B135" s="56" t="s">
        <v>1644</v>
      </c>
      <c r="C135" s="56" t="s">
        <v>1645</v>
      </c>
      <c r="D135" s="56" t="s">
        <v>1278</v>
      </c>
      <c r="E135" s="56" t="s">
        <v>1356</v>
      </c>
      <c r="F135" s="56" t="s">
        <v>1208</v>
      </c>
      <c r="G135" s="56" t="s">
        <v>1389</v>
      </c>
      <c r="H135" s="56"/>
    </row>
    <row r="136" spans="1:8" ht="15" customHeight="1">
      <c r="A136" s="56">
        <v>135</v>
      </c>
      <c r="B136" s="56" t="s">
        <v>1646</v>
      </c>
      <c r="C136" s="56" t="s">
        <v>1647</v>
      </c>
      <c r="D136" s="56" t="s">
        <v>1278</v>
      </c>
      <c r="E136" s="56" t="s">
        <v>1356</v>
      </c>
      <c r="F136" s="56" t="s">
        <v>1208</v>
      </c>
      <c r="G136" s="56" t="s">
        <v>1392</v>
      </c>
      <c r="H136" s="56"/>
    </row>
    <row r="137" spans="1:8" ht="15" customHeight="1">
      <c r="A137" s="56">
        <v>136</v>
      </c>
      <c r="B137" s="56" t="s">
        <v>1648</v>
      </c>
      <c r="C137" s="56" t="s">
        <v>1649</v>
      </c>
      <c r="D137" s="56" t="s">
        <v>1278</v>
      </c>
      <c r="E137" s="56" t="s">
        <v>1356</v>
      </c>
      <c r="F137" s="56" t="s">
        <v>1208</v>
      </c>
      <c r="G137" s="56" t="s">
        <v>1400</v>
      </c>
      <c r="H137" s="56"/>
    </row>
    <row r="138" spans="1:8" ht="15" customHeight="1">
      <c r="A138" s="56">
        <v>137</v>
      </c>
      <c r="B138" s="56" t="s">
        <v>1650</v>
      </c>
      <c r="C138" s="56" t="s">
        <v>1651</v>
      </c>
      <c r="D138" s="56" t="s">
        <v>1278</v>
      </c>
      <c r="E138" s="56" t="s">
        <v>1348</v>
      </c>
      <c r="F138" s="56" t="s">
        <v>1213</v>
      </c>
      <c r="G138" s="56" t="s">
        <v>1397</v>
      </c>
      <c r="H138" s="56"/>
    </row>
    <row r="139" spans="1:8" ht="15" customHeight="1">
      <c r="A139" s="56">
        <v>138</v>
      </c>
      <c r="B139" s="56" t="s">
        <v>1652</v>
      </c>
      <c r="C139" s="56" t="s">
        <v>1653</v>
      </c>
      <c r="D139" s="56" t="s">
        <v>1278</v>
      </c>
      <c r="E139" s="56" t="s">
        <v>1348</v>
      </c>
      <c r="F139" s="56" t="s">
        <v>1213</v>
      </c>
      <c r="G139" s="56" t="s">
        <v>1363</v>
      </c>
      <c r="H139" s="56"/>
    </row>
    <row r="140" spans="1:8" ht="15" customHeight="1">
      <c r="A140" s="56">
        <v>139</v>
      </c>
      <c r="B140" s="56" t="s">
        <v>1654</v>
      </c>
      <c r="C140" s="56" t="s">
        <v>1655</v>
      </c>
      <c r="D140" s="56" t="s">
        <v>1278</v>
      </c>
      <c r="E140" s="56" t="s">
        <v>1356</v>
      </c>
      <c r="F140" s="56" t="s">
        <v>1208</v>
      </c>
      <c r="G140" s="56" t="s">
        <v>1406</v>
      </c>
      <c r="H140" s="56"/>
    </row>
    <row r="141" spans="1:8" ht="15" customHeight="1">
      <c r="A141" s="56">
        <v>140</v>
      </c>
      <c r="B141" s="56" t="s">
        <v>1656</v>
      </c>
      <c r="C141" s="56" t="s">
        <v>1657</v>
      </c>
      <c r="D141" s="56" t="s">
        <v>1278</v>
      </c>
      <c r="E141" s="56" t="s">
        <v>1356</v>
      </c>
      <c r="F141" s="56" t="s">
        <v>1208</v>
      </c>
      <c r="G141" s="56" t="s">
        <v>1549</v>
      </c>
      <c r="H141" s="56"/>
    </row>
    <row r="142" spans="1:8" ht="15" customHeight="1">
      <c r="A142" s="56">
        <v>141</v>
      </c>
      <c r="B142" s="56" t="s">
        <v>1658</v>
      </c>
      <c r="C142" s="56" t="s">
        <v>1659</v>
      </c>
      <c r="D142" s="56" t="s">
        <v>1278</v>
      </c>
      <c r="E142" s="56" t="s">
        <v>1356</v>
      </c>
      <c r="F142" s="56" t="s">
        <v>1208</v>
      </c>
      <c r="G142" s="56" t="s">
        <v>1549</v>
      </c>
      <c r="H142" s="56"/>
    </row>
    <row r="143" spans="1:8" ht="15" customHeight="1">
      <c r="A143" s="56">
        <v>142</v>
      </c>
      <c r="B143" s="56" t="s">
        <v>1660</v>
      </c>
      <c r="C143" s="56" t="s">
        <v>1661</v>
      </c>
      <c r="D143" s="56" t="s">
        <v>1336</v>
      </c>
      <c r="E143" s="56" t="s">
        <v>1352</v>
      </c>
      <c r="F143" s="56" t="s">
        <v>1221</v>
      </c>
      <c r="G143" s="56" t="s">
        <v>1457</v>
      </c>
      <c r="H143" s="56"/>
    </row>
    <row r="144" spans="1:8" ht="15" customHeight="1">
      <c r="A144" s="56">
        <v>143</v>
      </c>
      <c r="B144" s="56" t="s">
        <v>1662</v>
      </c>
      <c r="C144" s="56" t="s">
        <v>1663</v>
      </c>
      <c r="D144" s="56" t="s">
        <v>1336</v>
      </c>
      <c r="E144" s="56" t="s">
        <v>1348</v>
      </c>
      <c r="F144" s="56" t="s">
        <v>1213</v>
      </c>
      <c r="G144" s="56" t="s">
        <v>1363</v>
      </c>
      <c r="H144" s="56"/>
    </row>
    <row r="145" spans="1:8" ht="15" customHeight="1">
      <c r="A145" s="56">
        <v>144</v>
      </c>
      <c r="B145" s="56" t="s">
        <v>1664</v>
      </c>
      <c r="C145" s="56" t="s">
        <v>1665</v>
      </c>
      <c r="D145" s="56" t="s">
        <v>1336</v>
      </c>
      <c r="E145" s="56" t="s">
        <v>1356</v>
      </c>
      <c r="F145" s="56" t="s">
        <v>1208</v>
      </c>
      <c r="G145" s="56" t="s">
        <v>1460</v>
      </c>
      <c r="H145" s="56"/>
    </row>
    <row r="146" spans="1:8" ht="15" customHeight="1">
      <c r="A146" s="56">
        <v>145</v>
      </c>
      <c r="B146" s="56" t="s">
        <v>1666</v>
      </c>
      <c r="C146" s="56" t="s">
        <v>1667</v>
      </c>
      <c r="D146" s="56" t="s">
        <v>1336</v>
      </c>
      <c r="E146" s="56" t="s">
        <v>1348</v>
      </c>
      <c r="F146" s="56" t="s">
        <v>1213</v>
      </c>
      <c r="G146" s="56" t="s">
        <v>1419</v>
      </c>
      <c r="H146" s="56"/>
    </row>
    <row r="147" spans="1:8" ht="15" customHeight="1">
      <c r="A147" s="56">
        <v>146</v>
      </c>
      <c r="B147" s="56" t="s">
        <v>1668</v>
      </c>
      <c r="C147" s="56" t="s">
        <v>1669</v>
      </c>
      <c r="D147" s="56" t="s">
        <v>1336</v>
      </c>
      <c r="E147" s="56" t="s">
        <v>1352</v>
      </c>
      <c r="F147" s="56" t="s">
        <v>1221</v>
      </c>
      <c r="G147" s="56" t="s">
        <v>1419</v>
      </c>
      <c r="H147" s="56"/>
    </row>
    <row r="148" spans="1:8" ht="15" customHeight="1">
      <c r="A148" s="56">
        <v>147</v>
      </c>
      <c r="B148" s="56" t="s">
        <v>1670</v>
      </c>
      <c r="C148" s="56" t="s">
        <v>1671</v>
      </c>
      <c r="D148" s="56" t="s">
        <v>1336</v>
      </c>
      <c r="E148" s="56" t="s">
        <v>1356</v>
      </c>
      <c r="F148" s="56" t="s">
        <v>1208</v>
      </c>
      <c r="G148" s="56" t="s">
        <v>1419</v>
      </c>
      <c r="H148" s="56"/>
    </row>
    <row r="149" spans="1:8" ht="15" customHeight="1">
      <c r="A149" s="56">
        <v>148</v>
      </c>
      <c r="B149" s="56" t="s">
        <v>1672</v>
      </c>
      <c r="C149" s="56" t="s">
        <v>1673</v>
      </c>
      <c r="D149" s="56" t="s">
        <v>1336</v>
      </c>
      <c r="E149" s="56" t="s">
        <v>1348</v>
      </c>
      <c r="F149" s="56" t="s">
        <v>1213</v>
      </c>
      <c r="G149" s="56" t="s">
        <v>1371</v>
      </c>
      <c r="H149" s="56"/>
    </row>
    <row r="150" spans="1:8" ht="15" customHeight="1">
      <c r="A150" s="56">
        <v>149</v>
      </c>
      <c r="B150" s="56" t="s">
        <v>1674</v>
      </c>
      <c r="C150" s="56" t="s">
        <v>1675</v>
      </c>
      <c r="D150" s="56" t="s">
        <v>1336</v>
      </c>
      <c r="E150" s="56" t="s">
        <v>1356</v>
      </c>
      <c r="F150" s="56" t="s">
        <v>1208</v>
      </c>
      <c r="G150" s="56" t="s">
        <v>1371</v>
      </c>
      <c r="H150" s="56"/>
    </row>
    <row r="151" spans="1:8" ht="15" customHeight="1">
      <c r="A151" s="56">
        <v>150</v>
      </c>
      <c r="B151" s="56" t="s">
        <v>1676</v>
      </c>
      <c r="C151" s="56" t="s">
        <v>1677</v>
      </c>
      <c r="D151" s="56" t="s">
        <v>1336</v>
      </c>
      <c r="E151" s="56" t="s">
        <v>1348</v>
      </c>
      <c r="F151" s="56" t="s">
        <v>1213</v>
      </c>
      <c r="G151" s="56" t="s">
        <v>1371</v>
      </c>
      <c r="H151" s="56"/>
    </row>
    <row r="152" spans="1:8" ht="15" customHeight="1">
      <c r="A152" s="56">
        <v>151</v>
      </c>
      <c r="B152" s="56" t="s">
        <v>1678</v>
      </c>
      <c r="C152" s="56" t="s">
        <v>1679</v>
      </c>
      <c r="D152" s="56" t="s">
        <v>1336</v>
      </c>
      <c r="E152" s="56" t="s">
        <v>1356</v>
      </c>
      <c r="F152" s="56" t="s">
        <v>1208</v>
      </c>
      <c r="G152" s="56" t="s">
        <v>1432</v>
      </c>
      <c r="H152" s="56"/>
    </row>
    <row r="153" spans="1:8" ht="15" customHeight="1">
      <c r="A153" s="56">
        <v>152</v>
      </c>
      <c r="B153" s="56" t="s">
        <v>1680</v>
      </c>
      <c r="C153" s="56" t="s">
        <v>1681</v>
      </c>
      <c r="D153" s="56" t="s">
        <v>1336</v>
      </c>
      <c r="E153" s="56" t="s">
        <v>1356</v>
      </c>
      <c r="F153" s="56" t="s">
        <v>1208</v>
      </c>
      <c r="G153" s="56" t="s">
        <v>1386</v>
      </c>
      <c r="H153" s="56"/>
    </row>
    <row r="154" spans="1:8" ht="15" customHeight="1">
      <c r="A154" s="56">
        <v>153</v>
      </c>
      <c r="B154" s="56" t="s">
        <v>1682</v>
      </c>
      <c r="C154" s="56" t="s">
        <v>1683</v>
      </c>
      <c r="D154" s="56" t="s">
        <v>1336</v>
      </c>
      <c r="E154" s="56" t="s">
        <v>1348</v>
      </c>
      <c r="F154" s="56" t="s">
        <v>1213</v>
      </c>
      <c r="G154" s="56" t="s">
        <v>1397</v>
      </c>
      <c r="H154" s="56"/>
    </row>
    <row r="155" spans="1:8" ht="15" customHeight="1">
      <c r="A155" s="56">
        <v>154</v>
      </c>
      <c r="B155" s="56" t="s">
        <v>1684</v>
      </c>
      <c r="C155" s="56" t="s">
        <v>1685</v>
      </c>
      <c r="D155" s="56" t="s">
        <v>1336</v>
      </c>
      <c r="E155" s="56" t="s">
        <v>1356</v>
      </c>
      <c r="F155" s="56" t="s">
        <v>1208</v>
      </c>
      <c r="G155" s="56" t="s">
        <v>1549</v>
      </c>
      <c r="H155" s="56"/>
    </row>
    <row r="156" spans="1:8" ht="15" customHeight="1">
      <c r="A156" s="56">
        <v>155</v>
      </c>
      <c r="B156" s="56" t="s">
        <v>1686</v>
      </c>
      <c r="C156" s="56" t="s">
        <v>1687</v>
      </c>
      <c r="D156" s="56" t="s">
        <v>1334</v>
      </c>
      <c r="E156" s="56" t="s">
        <v>1348</v>
      </c>
      <c r="F156" s="56" t="s">
        <v>1213</v>
      </c>
      <c r="G156" s="56" t="s">
        <v>1357</v>
      </c>
      <c r="H156" s="56"/>
    </row>
    <row r="157" spans="1:8" ht="15" customHeight="1">
      <c r="A157" s="56">
        <v>156</v>
      </c>
      <c r="B157" s="56" t="s">
        <v>1688</v>
      </c>
      <c r="C157" s="56" t="s">
        <v>1689</v>
      </c>
      <c r="D157" s="56" t="s">
        <v>1334</v>
      </c>
      <c r="E157" s="56" t="s">
        <v>1348</v>
      </c>
      <c r="F157" s="56" t="s">
        <v>1213</v>
      </c>
      <c r="G157" s="56" t="s">
        <v>1357</v>
      </c>
      <c r="H157" s="56"/>
    </row>
    <row r="158" spans="1:8" ht="15" customHeight="1">
      <c r="A158" s="56">
        <v>157</v>
      </c>
      <c r="B158" s="56" t="s">
        <v>1690</v>
      </c>
      <c r="C158" s="56" t="s">
        <v>1691</v>
      </c>
      <c r="D158" s="56" t="s">
        <v>1334</v>
      </c>
      <c r="E158" s="56" t="s">
        <v>1348</v>
      </c>
      <c r="F158" s="56" t="s">
        <v>1213</v>
      </c>
      <c r="G158" s="56" t="s">
        <v>1357</v>
      </c>
      <c r="H158" s="56"/>
    </row>
    <row r="159" spans="1:8" ht="15" customHeight="1">
      <c r="A159" s="56">
        <v>158</v>
      </c>
      <c r="B159" s="56" t="s">
        <v>1692</v>
      </c>
      <c r="C159" s="56" t="s">
        <v>1693</v>
      </c>
      <c r="D159" s="56" t="s">
        <v>1334</v>
      </c>
      <c r="E159" s="56" t="s">
        <v>1348</v>
      </c>
      <c r="F159" s="56" t="s">
        <v>1213</v>
      </c>
      <c r="G159" s="56" t="s">
        <v>1694</v>
      </c>
      <c r="H159" s="56"/>
    </row>
    <row r="160" spans="1:8" ht="15" customHeight="1">
      <c r="A160" s="56">
        <v>159</v>
      </c>
      <c r="B160" s="56" t="s">
        <v>1695</v>
      </c>
      <c r="C160" s="56" t="s">
        <v>1696</v>
      </c>
      <c r="D160" s="56" t="s">
        <v>1334</v>
      </c>
      <c r="E160" s="56" t="s">
        <v>1348</v>
      </c>
      <c r="F160" s="56" t="s">
        <v>1213</v>
      </c>
      <c r="G160" s="56" t="s">
        <v>1363</v>
      </c>
      <c r="H160" s="56"/>
    </row>
    <row r="161" spans="1:8" ht="15" customHeight="1">
      <c r="A161" s="56">
        <v>160</v>
      </c>
      <c r="B161" s="56" t="s">
        <v>1697</v>
      </c>
      <c r="C161" s="56" t="s">
        <v>1698</v>
      </c>
      <c r="D161" s="56" t="s">
        <v>1334</v>
      </c>
      <c r="E161" s="56" t="s">
        <v>1348</v>
      </c>
      <c r="F161" s="56" t="s">
        <v>1213</v>
      </c>
      <c r="G161" s="56" t="s">
        <v>1363</v>
      </c>
      <c r="H161" s="56"/>
    </row>
    <row r="162" spans="1:8" ht="15" customHeight="1">
      <c r="A162" s="56">
        <v>161</v>
      </c>
      <c r="B162" s="56" t="s">
        <v>1699</v>
      </c>
      <c r="C162" s="56" t="s">
        <v>1700</v>
      </c>
      <c r="D162" s="56" t="s">
        <v>1334</v>
      </c>
      <c r="E162" s="56" t="s">
        <v>1348</v>
      </c>
      <c r="F162" s="56" t="s">
        <v>1213</v>
      </c>
      <c r="G162" s="56" t="s">
        <v>1368</v>
      </c>
      <c r="H162" s="56"/>
    </row>
    <row r="163" spans="1:8" ht="15" customHeight="1">
      <c r="A163" s="56">
        <v>162</v>
      </c>
      <c r="B163" s="56" t="s">
        <v>1701</v>
      </c>
      <c r="C163" s="56" t="s">
        <v>1702</v>
      </c>
      <c r="D163" s="56" t="s">
        <v>1334</v>
      </c>
      <c r="E163" s="56" t="s">
        <v>1352</v>
      </c>
      <c r="F163" s="56" t="s">
        <v>1221</v>
      </c>
      <c r="G163" s="56" t="s">
        <v>1419</v>
      </c>
      <c r="H163" s="56"/>
    </row>
    <row r="164" spans="1:8" ht="15" customHeight="1">
      <c r="A164" s="56">
        <v>163</v>
      </c>
      <c r="B164" s="56" t="s">
        <v>1703</v>
      </c>
      <c r="C164" s="56" t="s">
        <v>1704</v>
      </c>
      <c r="D164" s="56" t="s">
        <v>1334</v>
      </c>
      <c r="E164" s="56" t="s">
        <v>1352</v>
      </c>
      <c r="F164" s="56" t="s">
        <v>1221</v>
      </c>
      <c r="G164" s="56" t="s">
        <v>1419</v>
      </c>
      <c r="H164" s="56"/>
    </row>
    <row r="165" spans="1:8" ht="15" customHeight="1">
      <c r="A165" s="56">
        <v>164</v>
      </c>
      <c r="B165" s="56" t="s">
        <v>1705</v>
      </c>
      <c r="C165" s="56" t="s">
        <v>1706</v>
      </c>
      <c r="D165" s="56" t="s">
        <v>1334</v>
      </c>
      <c r="E165" s="56" t="s">
        <v>1348</v>
      </c>
      <c r="F165" s="56" t="s">
        <v>1213</v>
      </c>
      <c r="G165" s="56" t="s">
        <v>1621</v>
      </c>
      <c r="H165" s="56"/>
    </row>
    <row r="166" spans="1:8" ht="15" customHeight="1">
      <c r="A166" s="56">
        <v>165</v>
      </c>
      <c r="B166" s="56" t="s">
        <v>1707</v>
      </c>
      <c r="C166" s="56" t="s">
        <v>1708</v>
      </c>
      <c r="D166" s="56" t="s">
        <v>1334</v>
      </c>
      <c r="E166" s="56" t="s">
        <v>1348</v>
      </c>
      <c r="F166" s="56" t="s">
        <v>1213</v>
      </c>
      <c r="G166" s="56" t="s">
        <v>1371</v>
      </c>
      <c r="H166" s="56"/>
    </row>
    <row r="167" spans="1:8" ht="15" customHeight="1">
      <c r="A167" s="56">
        <v>166</v>
      </c>
      <c r="B167" s="56" t="s">
        <v>1709</v>
      </c>
      <c r="C167" s="56" t="s">
        <v>1710</v>
      </c>
      <c r="D167" s="56" t="s">
        <v>1334</v>
      </c>
      <c r="E167" s="56" t="s">
        <v>1348</v>
      </c>
      <c r="F167" s="56" t="s">
        <v>1213</v>
      </c>
      <c r="G167" s="56" t="s">
        <v>1425</v>
      </c>
      <c r="H167" s="56"/>
    </row>
    <row r="168" spans="1:8" ht="15" customHeight="1">
      <c r="A168" s="56">
        <v>167</v>
      </c>
      <c r="B168" s="56" t="s">
        <v>1711</v>
      </c>
      <c r="C168" s="56" t="s">
        <v>1712</v>
      </c>
      <c r="D168" s="56" t="s">
        <v>1334</v>
      </c>
      <c r="E168" s="56" t="s">
        <v>1348</v>
      </c>
      <c r="F168" s="56" t="s">
        <v>1213</v>
      </c>
      <c r="G168" s="56" t="s">
        <v>1425</v>
      </c>
      <c r="H168" s="56"/>
    </row>
    <row r="169" spans="1:8" ht="15" customHeight="1">
      <c r="A169" s="56">
        <v>168</v>
      </c>
      <c r="B169" s="56" t="s">
        <v>1713</v>
      </c>
      <c r="C169" s="56" t="s">
        <v>1714</v>
      </c>
      <c r="D169" s="56" t="s">
        <v>1334</v>
      </c>
      <c r="E169" s="56" t="s">
        <v>1348</v>
      </c>
      <c r="F169" s="56" t="s">
        <v>1213</v>
      </c>
      <c r="G169" s="56" t="s">
        <v>1432</v>
      </c>
      <c r="H169" s="56"/>
    </row>
    <row r="170" spans="1:8" ht="15" customHeight="1">
      <c r="A170" s="56">
        <v>169</v>
      </c>
      <c r="B170" s="56" t="s">
        <v>1715</v>
      </c>
      <c r="C170" s="56" t="s">
        <v>1716</v>
      </c>
      <c r="D170" s="56" t="s">
        <v>1334</v>
      </c>
      <c r="E170" s="56" t="s">
        <v>1348</v>
      </c>
      <c r="F170" s="56" t="s">
        <v>1213</v>
      </c>
      <c r="G170" s="56" t="s">
        <v>1376</v>
      </c>
      <c r="H170" s="56"/>
    </row>
    <row r="171" spans="1:8" ht="15" customHeight="1">
      <c r="A171" s="56">
        <v>170</v>
      </c>
      <c r="B171" s="56" t="s">
        <v>1717</v>
      </c>
      <c r="C171" s="56" t="s">
        <v>1718</v>
      </c>
      <c r="D171" s="56" t="s">
        <v>1334</v>
      </c>
      <c r="E171" s="56" t="s">
        <v>1356</v>
      </c>
      <c r="F171" s="56" t="s">
        <v>1208</v>
      </c>
      <c r="G171" s="56" t="s">
        <v>1465</v>
      </c>
      <c r="H171" s="56"/>
    </row>
    <row r="172" spans="1:8" ht="15" customHeight="1">
      <c r="A172" s="56">
        <v>171</v>
      </c>
      <c r="B172" s="56" t="s">
        <v>1719</v>
      </c>
      <c r="C172" s="56" t="s">
        <v>1720</v>
      </c>
      <c r="D172" s="56" t="s">
        <v>1334</v>
      </c>
      <c r="E172" s="56" t="s">
        <v>1348</v>
      </c>
      <c r="F172" s="56" t="s">
        <v>1213</v>
      </c>
      <c r="G172" s="56" t="s">
        <v>1465</v>
      </c>
      <c r="H172" s="56"/>
    </row>
    <row r="173" spans="1:8" ht="15" customHeight="1">
      <c r="A173" s="56">
        <v>172</v>
      </c>
      <c r="B173" s="56" t="s">
        <v>1721</v>
      </c>
      <c r="C173" s="56" t="s">
        <v>1722</v>
      </c>
      <c r="D173" s="56" t="s">
        <v>1334</v>
      </c>
      <c r="E173" s="56" t="s">
        <v>1356</v>
      </c>
      <c r="F173" s="56" t="s">
        <v>1208</v>
      </c>
      <c r="G173" s="56" t="s">
        <v>1406</v>
      </c>
      <c r="H173" s="56"/>
    </row>
    <row r="174" spans="1:8" ht="15" customHeight="1">
      <c r="A174" s="56">
        <v>173</v>
      </c>
      <c r="B174" s="56" t="s">
        <v>1723</v>
      </c>
      <c r="C174" s="56" t="s">
        <v>1724</v>
      </c>
      <c r="D174" s="56" t="s">
        <v>1334</v>
      </c>
      <c r="E174" s="56" t="s">
        <v>1348</v>
      </c>
      <c r="F174" s="56" t="s">
        <v>1213</v>
      </c>
      <c r="G174" s="56" t="s">
        <v>1389</v>
      </c>
      <c r="H174" s="56"/>
    </row>
    <row r="175" spans="1:8" ht="15" customHeight="1">
      <c r="A175" s="56">
        <v>174</v>
      </c>
      <c r="B175" s="56" t="s">
        <v>1725</v>
      </c>
      <c r="C175" s="56" t="s">
        <v>1726</v>
      </c>
      <c r="D175" s="56" t="s">
        <v>1334</v>
      </c>
      <c r="E175" s="56" t="s">
        <v>1348</v>
      </c>
      <c r="F175" s="56" t="s">
        <v>1213</v>
      </c>
      <c r="G175" s="56" t="s">
        <v>1392</v>
      </c>
      <c r="H175" s="56"/>
    </row>
    <row r="176" spans="1:8" ht="15" customHeight="1">
      <c r="A176" s="56">
        <v>175</v>
      </c>
      <c r="B176" s="56" t="s">
        <v>1727</v>
      </c>
      <c r="C176" s="56" t="s">
        <v>1728</v>
      </c>
      <c r="D176" s="56" t="s">
        <v>1334</v>
      </c>
      <c r="E176" s="56" t="s">
        <v>1348</v>
      </c>
      <c r="F176" s="56" t="s">
        <v>1213</v>
      </c>
      <c r="G176" s="56" t="s">
        <v>1397</v>
      </c>
      <c r="H176" s="56"/>
    </row>
    <row r="177" spans="1:8" ht="15" customHeight="1">
      <c r="A177" s="56">
        <v>176</v>
      </c>
      <c r="B177" s="56" t="s">
        <v>1729</v>
      </c>
      <c r="C177" s="56" t="s">
        <v>1730</v>
      </c>
      <c r="D177" s="56" t="s">
        <v>1334</v>
      </c>
      <c r="E177" s="56" t="s">
        <v>1348</v>
      </c>
      <c r="F177" s="56" t="s">
        <v>1213</v>
      </c>
      <c r="G177" s="56" t="s">
        <v>1500</v>
      </c>
      <c r="H177" s="56"/>
    </row>
    <row r="178" spans="1:8" ht="15" customHeight="1">
      <c r="A178" s="56">
        <v>177</v>
      </c>
      <c r="B178" s="56" t="s">
        <v>1731</v>
      </c>
      <c r="C178" s="56" t="s">
        <v>1732</v>
      </c>
      <c r="D178" s="56" t="s">
        <v>1334</v>
      </c>
      <c r="E178" s="56" t="s">
        <v>1356</v>
      </c>
      <c r="F178" s="56" t="s">
        <v>1208</v>
      </c>
      <c r="G178" s="56" t="s">
        <v>1406</v>
      </c>
      <c r="H178" s="56"/>
    </row>
    <row r="179" spans="1:8" ht="15" customHeight="1">
      <c r="A179" s="56">
        <v>178</v>
      </c>
      <c r="B179" s="56" t="s">
        <v>1733</v>
      </c>
      <c r="C179" s="56" t="s">
        <v>1734</v>
      </c>
      <c r="D179" s="56" t="s">
        <v>1334</v>
      </c>
      <c r="E179" s="56" t="s">
        <v>1348</v>
      </c>
      <c r="F179" s="56" t="s">
        <v>1213</v>
      </c>
      <c r="G179" s="56" t="s">
        <v>1406</v>
      </c>
      <c r="H179" s="56"/>
    </row>
    <row r="180" spans="1:8" ht="15" customHeight="1">
      <c r="A180" s="56">
        <v>179</v>
      </c>
      <c r="B180" s="56" t="s">
        <v>1735</v>
      </c>
      <c r="C180" s="56" t="s">
        <v>1736</v>
      </c>
      <c r="D180" s="56" t="s">
        <v>1334</v>
      </c>
      <c r="E180" s="56" t="s">
        <v>1348</v>
      </c>
      <c r="F180" s="56" t="s">
        <v>1213</v>
      </c>
      <c r="G180" s="56" t="s">
        <v>1605</v>
      </c>
      <c r="H180" s="56"/>
    </row>
    <row r="181" spans="1:8" ht="15" customHeight="1">
      <c r="A181" s="56">
        <v>180</v>
      </c>
      <c r="B181" s="56" t="s">
        <v>1737</v>
      </c>
      <c r="C181" s="56" t="s">
        <v>1738</v>
      </c>
      <c r="D181" s="56" t="s">
        <v>1334</v>
      </c>
      <c r="E181" s="56" t="s">
        <v>1348</v>
      </c>
      <c r="F181" s="56" t="s">
        <v>1213</v>
      </c>
      <c r="G181" s="56" t="s">
        <v>1482</v>
      </c>
      <c r="H181" s="56"/>
    </row>
    <row r="182" spans="1:8" ht="15" customHeight="1">
      <c r="A182" s="56">
        <v>181</v>
      </c>
      <c r="B182" s="56" t="s">
        <v>1739</v>
      </c>
      <c r="C182" s="56" t="s">
        <v>1740</v>
      </c>
      <c r="D182" s="56" t="s">
        <v>1332</v>
      </c>
      <c r="E182" s="56" t="s">
        <v>1348</v>
      </c>
      <c r="F182" s="56" t="s">
        <v>1213</v>
      </c>
      <c r="G182" s="56" t="s">
        <v>1349</v>
      </c>
      <c r="H182" s="56"/>
    </row>
    <row r="183" spans="1:8" ht="15" customHeight="1">
      <c r="A183" s="56">
        <v>182</v>
      </c>
      <c r="B183" s="56" t="s">
        <v>1741</v>
      </c>
      <c r="C183" s="56" t="s">
        <v>1742</v>
      </c>
      <c r="D183" s="56" t="s">
        <v>1332</v>
      </c>
      <c r="E183" s="56" t="s">
        <v>1348</v>
      </c>
      <c r="F183" s="56" t="s">
        <v>1213</v>
      </c>
      <c r="G183" s="56" t="s">
        <v>1409</v>
      </c>
      <c r="H183" s="56"/>
    </row>
    <row r="184" spans="1:8" ht="15" customHeight="1">
      <c r="A184" s="56">
        <v>183</v>
      </c>
      <c r="B184" s="56" t="s">
        <v>1743</v>
      </c>
      <c r="C184" s="56" t="s">
        <v>1744</v>
      </c>
      <c r="D184" s="56" t="s">
        <v>1332</v>
      </c>
      <c r="E184" s="56" t="s">
        <v>1348</v>
      </c>
      <c r="F184" s="56" t="s">
        <v>1213</v>
      </c>
      <c r="G184" s="56" t="s">
        <v>1357</v>
      </c>
      <c r="H184" s="56"/>
    </row>
    <row r="185" spans="1:8" ht="15" customHeight="1">
      <c r="A185" s="56">
        <v>184</v>
      </c>
      <c r="B185" s="56" t="s">
        <v>1745</v>
      </c>
      <c r="C185" s="56" t="s">
        <v>1746</v>
      </c>
      <c r="D185" s="56" t="s">
        <v>1332</v>
      </c>
      <c r="E185" s="56" t="s">
        <v>1348</v>
      </c>
      <c r="F185" s="56" t="s">
        <v>1213</v>
      </c>
      <c r="G185" s="56" t="s">
        <v>1363</v>
      </c>
      <c r="H185" s="56"/>
    </row>
    <row r="186" spans="1:8" ht="15" customHeight="1">
      <c r="A186" s="56">
        <v>185</v>
      </c>
      <c r="B186" s="56" t="s">
        <v>1747</v>
      </c>
      <c r="C186" s="56" t="s">
        <v>1748</v>
      </c>
      <c r="D186" s="56" t="s">
        <v>1332</v>
      </c>
      <c r="E186" s="56" t="s">
        <v>1356</v>
      </c>
      <c r="F186" s="56" t="s">
        <v>1208</v>
      </c>
      <c r="G186" s="56" t="s">
        <v>1621</v>
      </c>
      <c r="H186" s="56"/>
    </row>
    <row r="187" spans="1:8" ht="15" customHeight="1">
      <c r="A187" s="56">
        <v>186</v>
      </c>
      <c r="B187" s="56" t="s">
        <v>1749</v>
      </c>
      <c r="C187" s="56" t="s">
        <v>1750</v>
      </c>
      <c r="D187" s="56" t="s">
        <v>1332</v>
      </c>
      <c r="E187" s="56" t="s">
        <v>1356</v>
      </c>
      <c r="F187" s="56" t="s">
        <v>1208</v>
      </c>
      <c r="G187" s="56" t="s">
        <v>1376</v>
      </c>
      <c r="H187" s="56"/>
    </row>
    <row r="188" spans="1:8" ht="15" customHeight="1">
      <c r="A188" s="56">
        <v>187</v>
      </c>
      <c r="B188" s="56" t="s">
        <v>1751</v>
      </c>
      <c r="C188" s="56" t="s">
        <v>1752</v>
      </c>
      <c r="D188" s="56" t="s">
        <v>1332</v>
      </c>
      <c r="E188" s="56" t="s">
        <v>1356</v>
      </c>
      <c r="F188" s="56" t="s">
        <v>1208</v>
      </c>
      <c r="G188" s="56" t="s">
        <v>1465</v>
      </c>
      <c r="H188" s="56"/>
    </row>
    <row r="189" spans="1:8" ht="15" customHeight="1">
      <c r="A189" s="56">
        <v>188</v>
      </c>
      <c r="B189" s="56" t="s">
        <v>1753</v>
      </c>
      <c r="C189" s="56" t="s">
        <v>1754</v>
      </c>
      <c r="D189" s="56" t="s">
        <v>1332</v>
      </c>
      <c r="E189" s="56" t="s">
        <v>1348</v>
      </c>
      <c r="F189" s="56" t="s">
        <v>1213</v>
      </c>
      <c r="G189" s="56" t="s">
        <v>1500</v>
      </c>
      <c r="H189" s="56"/>
    </row>
    <row r="190" spans="1:8" ht="15" customHeight="1">
      <c r="A190" s="56">
        <v>189</v>
      </c>
      <c r="B190" s="56" t="s">
        <v>1755</v>
      </c>
      <c r="C190" s="56" t="s">
        <v>1756</v>
      </c>
      <c r="D190" s="56" t="s">
        <v>1332</v>
      </c>
      <c r="E190" s="56" t="s">
        <v>1348</v>
      </c>
      <c r="F190" s="56" t="s">
        <v>1213</v>
      </c>
      <c r="G190" s="56" t="s">
        <v>1549</v>
      </c>
      <c r="H190" s="56"/>
    </row>
    <row r="191" spans="1:8" ht="15" customHeight="1">
      <c r="A191" s="56">
        <v>190</v>
      </c>
      <c r="B191" s="56" t="s">
        <v>1757</v>
      </c>
      <c r="C191" s="56" t="s">
        <v>1758</v>
      </c>
      <c r="D191" s="56" t="s">
        <v>1332</v>
      </c>
      <c r="E191" s="56" t="s">
        <v>1356</v>
      </c>
      <c r="F191" s="56" t="s">
        <v>1208</v>
      </c>
      <c r="G191" s="56" t="s">
        <v>1439</v>
      </c>
      <c r="H191" s="56"/>
    </row>
    <row r="192" spans="1:8" ht="15" customHeight="1">
      <c r="A192" s="56">
        <v>191</v>
      </c>
      <c r="B192" s="56" t="s">
        <v>1759</v>
      </c>
      <c r="C192" s="56" t="s">
        <v>1760</v>
      </c>
      <c r="D192" s="56" t="s">
        <v>1307</v>
      </c>
      <c r="E192" s="56" t="s">
        <v>1416</v>
      </c>
      <c r="F192" s="56" t="s">
        <v>1230</v>
      </c>
      <c r="G192" s="56" t="s">
        <v>1349</v>
      </c>
      <c r="H192" s="56"/>
    </row>
    <row r="193" spans="1:8" ht="15" customHeight="1">
      <c r="A193" s="56">
        <v>192</v>
      </c>
      <c r="B193" s="56" t="s">
        <v>1761</v>
      </c>
      <c r="C193" s="56" t="s">
        <v>1762</v>
      </c>
      <c r="D193" s="56" t="s">
        <v>1307</v>
      </c>
      <c r="E193" s="56" t="s">
        <v>1348</v>
      </c>
      <c r="F193" s="56" t="s">
        <v>1213</v>
      </c>
      <c r="G193" s="56" t="s">
        <v>1349</v>
      </c>
      <c r="H193" s="56"/>
    </row>
    <row r="194" spans="1:8" ht="15" customHeight="1">
      <c r="A194" s="56">
        <v>193</v>
      </c>
      <c r="B194" s="56" t="s">
        <v>1763</v>
      </c>
      <c r="C194" s="56" t="s">
        <v>1764</v>
      </c>
      <c r="D194" s="56" t="s">
        <v>1307</v>
      </c>
      <c r="E194" s="56" t="s">
        <v>1416</v>
      </c>
      <c r="F194" s="56" t="s">
        <v>1230</v>
      </c>
      <c r="G194" s="56" t="s">
        <v>1409</v>
      </c>
      <c r="H194" s="56"/>
    </row>
    <row r="195" spans="1:8" ht="15" customHeight="1">
      <c r="A195" s="56">
        <v>194</v>
      </c>
      <c r="B195" s="56" t="s">
        <v>1765</v>
      </c>
      <c r="C195" s="56" t="s">
        <v>1766</v>
      </c>
      <c r="D195" s="56" t="s">
        <v>1307</v>
      </c>
      <c r="E195" s="56" t="s">
        <v>1352</v>
      </c>
      <c r="F195" s="56" t="s">
        <v>1221</v>
      </c>
      <c r="G195" s="56" t="s">
        <v>1409</v>
      </c>
      <c r="H195" s="56"/>
    </row>
    <row r="196" spans="1:8" ht="15" customHeight="1">
      <c r="A196" s="56">
        <v>195</v>
      </c>
      <c r="B196" s="56" t="s">
        <v>1767</v>
      </c>
      <c r="C196" s="56" t="s">
        <v>1768</v>
      </c>
      <c r="D196" s="56" t="s">
        <v>1307</v>
      </c>
      <c r="E196" s="56" t="s">
        <v>1352</v>
      </c>
      <c r="F196" s="56" t="s">
        <v>1221</v>
      </c>
      <c r="G196" s="56" t="s">
        <v>1353</v>
      </c>
      <c r="H196" s="56"/>
    </row>
    <row r="197" spans="1:8" ht="15" customHeight="1">
      <c r="A197" s="56">
        <v>196</v>
      </c>
      <c r="B197" s="56" t="s">
        <v>1769</v>
      </c>
      <c r="C197" s="56" t="s">
        <v>1770</v>
      </c>
      <c r="D197" s="56" t="s">
        <v>1307</v>
      </c>
      <c r="E197" s="56" t="s">
        <v>1416</v>
      </c>
      <c r="F197" s="56" t="s">
        <v>1230</v>
      </c>
      <c r="G197" s="56" t="s">
        <v>1353</v>
      </c>
      <c r="H197" s="56"/>
    </row>
    <row r="198" spans="1:8" ht="15" customHeight="1">
      <c r="A198" s="56">
        <v>197</v>
      </c>
      <c r="B198" s="56" t="s">
        <v>1771</v>
      </c>
      <c r="C198" s="56" t="s">
        <v>1772</v>
      </c>
      <c r="D198" s="56" t="s">
        <v>1307</v>
      </c>
      <c r="E198" s="56" t="s">
        <v>1352</v>
      </c>
      <c r="F198" s="56" t="s">
        <v>1221</v>
      </c>
      <c r="G198" s="56" t="s">
        <v>1353</v>
      </c>
      <c r="H198" s="56"/>
    </row>
    <row r="199" spans="1:8" ht="15" customHeight="1">
      <c r="A199" s="56">
        <v>198</v>
      </c>
      <c r="B199" s="56" t="s">
        <v>1773</v>
      </c>
      <c r="C199" s="56" t="s">
        <v>1774</v>
      </c>
      <c r="D199" s="56" t="s">
        <v>1307</v>
      </c>
      <c r="E199" s="56" t="s">
        <v>1348</v>
      </c>
      <c r="F199" s="56" t="s">
        <v>1213</v>
      </c>
      <c r="G199" s="56" t="s">
        <v>1357</v>
      </c>
      <c r="H199" s="56"/>
    </row>
    <row r="200" spans="1:8" ht="15" customHeight="1">
      <c r="A200" s="56">
        <v>199</v>
      </c>
      <c r="B200" s="56" t="s">
        <v>1775</v>
      </c>
      <c r="C200" s="56" t="s">
        <v>1776</v>
      </c>
      <c r="D200" s="56" t="s">
        <v>1307</v>
      </c>
      <c r="E200" s="56" t="s">
        <v>1352</v>
      </c>
      <c r="F200" s="56" t="s">
        <v>1221</v>
      </c>
      <c r="G200" s="56" t="s">
        <v>1357</v>
      </c>
      <c r="H200" s="56"/>
    </row>
    <row r="201" spans="1:8" ht="15" customHeight="1">
      <c r="A201" s="56">
        <v>200</v>
      </c>
      <c r="B201" s="56" t="s">
        <v>1777</v>
      </c>
      <c r="C201" s="56" t="s">
        <v>1778</v>
      </c>
      <c r="D201" s="56" t="s">
        <v>1307</v>
      </c>
      <c r="E201" s="56" t="s">
        <v>1416</v>
      </c>
      <c r="F201" s="56" t="s">
        <v>1230</v>
      </c>
      <c r="G201" s="56" t="s">
        <v>1360</v>
      </c>
      <c r="H201" s="56"/>
    </row>
    <row r="202" spans="1:8" ht="15" customHeight="1">
      <c r="A202" s="56">
        <v>201</v>
      </c>
      <c r="B202" s="56" t="s">
        <v>1779</v>
      </c>
      <c r="C202" s="56" t="s">
        <v>1780</v>
      </c>
      <c r="D202" s="56" t="s">
        <v>1307</v>
      </c>
      <c r="E202" s="56" t="s">
        <v>1416</v>
      </c>
      <c r="F202" s="56" t="s">
        <v>1230</v>
      </c>
      <c r="G202" s="56" t="s">
        <v>1360</v>
      </c>
      <c r="H202" s="56"/>
    </row>
    <row r="203" spans="1:8" ht="15" customHeight="1">
      <c r="A203" s="56">
        <v>202</v>
      </c>
      <c r="B203" s="56" t="s">
        <v>1781</v>
      </c>
      <c r="C203" s="56" t="s">
        <v>1782</v>
      </c>
      <c r="D203" s="56" t="s">
        <v>1307</v>
      </c>
      <c r="E203" s="56" t="s">
        <v>1348</v>
      </c>
      <c r="F203" s="56" t="s">
        <v>1213</v>
      </c>
      <c r="G203" s="56" t="s">
        <v>1360</v>
      </c>
      <c r="H203" s="56"/>
    </row>
    <row r="204" spans="1:8" ht="15" customHeight="1">
      <c r="A204" s="56">
        <v>203</v>
      </c>
      <c r="B204" s="56" t="s">
        <v>1783</v>
      </c>
      <c r="C204" s="56" t="s">
        <v>1784</v>
      </c>
      <c r="D204" s="56" t="s">
        <v>1307</v>
      </c>
      <c r="E204" s="56" t="s">
        <v>1416</v>
      </c>
      <c r="F204" s="56" t="s">
        <v>1230</v>
      </c>
      <c r="G204" s="56" t="s">
        <v>1500</v>
      </c>
      <c r="H204" s="56"/>
    </row>
    <row r="205" spans="1:8" ht="15" customHeight="1">
      <c r="A205" s="56">
        <v>204</v>
      </c>
      <c r="B205" s="56" t="s">
        <v>1785</v>
      </c>
      <c r="C205" s="56" t="s">
        <v>1786</v>
      </c>
      <c r="D205" s="56" t="s">
        <v>1307</v>
      </c>
      <c r="E205" s="56" t="s">
        <v>1416</v>
      </c>
      <c r="F205" s="56" t="s">
        <v>1230</v>
      </c>
      <c r="G205" s="56" t="s">
        <v>1460</v>
      </c>
      <c r="H205" s="56"/>
    </row>
    <row r="206" spans="1:8" ht="15" customHeight="1">
      <c r="A206" s="56">
        <v>205</v>
      </c>
      <c r="B206" s="56" t="s">
        <v>1787</v>
      </c>
      <c r="C206" s="56" t="s">
        <v>1788</v>
      </c>
      <c r="D206" s="56" t="s">
        <v>1307</v>
      </c>
      <c r="E206" s="56" t="s">
        <v>1352</v>
      </c>
      <c r="F206" s="56" t="s">
        <v>1221</v>
      </c>
      <c r="G206" s="56" t="s">
        <v>1419</v>
      </c>
      <c r="H206" s="56"/>
    </row>
    <row r="207" spans="1:8" ht="15" customHeight="1">
      <c r="A207" s="56">
        <v>206</v>
      </c>
      <c r="B207" s="56" t="s">
        <v>1789</v>
      </c>
      <c r="C207" s="56" t="s">
        <v>1790</v>
      </c>
      <c r="D207" s="56" t="s">
        <v>1307</v>
      </c>
      <c r="E207" s="56" t="s">
        <v>1352</v>
      </c>
      <c r="F207" s="56" t="s">
        <v>1221</v>
      </c>
      <c r="G207" s="56" t="s">
        <v>1509</v>
      </c>
      <c r="H207" s="56"/>
    </row>
    <row r="208" spans="1:8" ht="15" customHeight="1">
      <c r="A208" s="56">
        <v>207</v>
      </c>
      <c r="B208" s="56" t="s">
        <v>1791</v>
      </c>
      <c r="C208" s="56" t="s">
        <v>1792</v>
      </c>
      <c r="D208" s="56" t="s">
        <v>1307</v>
      </c>
      <c r="E208" s="56" t="s">
        <v>1352</v>
      </c>
      <c r="F208" s="56" t="s">
        <v>1221</v>
      </c>
      <c r="G208" s="56" t="s">
        <v>1621</v>
      </c>
      <c r="H208" s="56"/>
    </row>
    <row r="209" spans="1:8" ht="15" customHeight="1">
      <c r="A209" s="56">
        <v>208</v>
      </c>
      <c r="B209" s="56" t="s">
        <v>1793</v>
      </c>
      <c r="C209" s="56" t="s">
        <v>1794</v>
      </c>
      <c r="D209" s="56" t="s">
        <v>1307</v>
      </c>
      <c r="E209" s="56" t="s">
        <v>1348</v>
      </c>
      <c r="F209" s="56" t="s">
        <v>1213</v>
      </c>
      <c r="G209" s="56" t="s">
        <v>1621</v>
      </c>
      <c r="H209" s="56"/>
    </row>
    <row r="210" spans="1:8" ht="15" customHeight="1">
      <c r="A210" s="56">
        <v>209</v>
      </c>
      <c r="B210" s="56" t="s">
        <v>1795</v>
      </c>
      <c r="C210" s="56" t="s">
        <v>1796</v>
      </c>
      <c r="D210" s="56" t="s">
        <v>1307</v>
      </c>
      <c r="E210" s="56" t="s">
        <v>1416</v>
      </c>
      <c r="F210" s="56" t="s">
        <v>1230</v>
      </c>
      <c r="G210" s="56" t="s">
        <v>1371</v>
      </c>
      <c r="H210" s="56"/>
    </row>
    <row r="211" spans="1:8" ht="15" customHeight="1">
      <c r="A211" s="56">
        <v>210</v>
      </c>
      <c r="B211" s="56" t="s">
        <v>1797</v>
      </c>
      <c r="C211" s="56" t="s">
        <v>1798</v>
      </c>
      <c r="D211" s="56" t="s">
        <v>1307</v>
      </c>
      <c r="E211" s="56" t="s">
        <v>1352</v>
      </c>
      <c r="F211" s="56" t="s">
        <v>1221</v>
      </c>
      <c r="G211" s="56" t="s">
        <v>1425</v>
      </c>
      <c r="H211" s="56"/>
    </row>
    <row r="212" spans="1:8" ht="15" customHeight="1">
      <c r="A212" s="56">
        <v>211</v>
      </c>
      <c r="B212" s="56" t="s">
        <v>1799</v>
      </c>
      <c r="C212" s="56" t="s">
        <v>1800</v>
      </c>
      <c r="D212" s="56" t="s">
        <v>1307</v>
      </c>
      <c r="E212" s="56" t="s">
        <v>1416</v>
      </c>
      <c r="F212" s="56" t="s">
        <v>1230</v>
      </c>
      <c r="G212" s="56" t="s">
        <v>1432</v>
      </c>
      <c r="H212" s="56"/>
    </row>
    <row r="213" spans="1:8" ht="15" customHeight="1">
      <c r="A213" s="56">
        <v>212</v>
      </c>
      <c r="B213" s="56" t="s">
        <v>1801</v>
      </c>
      <c r="C213" s="56" t="s">
        <v>1802</v>
      </c>
      <c r="D213" s="56" t="s">
        <v>1307</v>
      </c>
      <c r="E213" s="56" t="s">
        <v>1348</v>
      </c>
      <c r="F213" s="56" t="s">
        <v>1213</v>
      </c>
      <c r="G213" s="56" t="s">
        <v>1376</v>
      </c>
      <c r="H213" s="56"/>
    </row>
    <row r="214" spans="1:8" ht="15" customHeight="1">
      <c r="A214" s="56">
        <v>213</v>
      </c>
      <c r="B214" s="56" t="s">
        <v>1803</v>
      </c>
      <c r="C214" s="56" t="s">
        <v>1804</v>
      </c>
      <c r="D214" s="56" t="s">
        <v>1307</v>
      </c>
      <c r="E214" s="56" t="s">
        <v>1348</v>
      </c>
      <c r="F214" s="56" t="s">
        <v>1213</v>
      </c>
      <c r="G214" s="56" t="s">
        <v>1376</v>
      </c>
      <c r="H214" s="56"/>
    </row>
    <row r="215" spans="1:8" ht="15" customHeight="1">
      <c r="A215" s="56">
        <v>214</v>
      </c>
      <c r="B215" s="56" t="s">
        <v>1805</v>
      </c>
      <c r="C215" s="56" t="s">
        <v>1806</v>
      </c>
      <c r="D215" s="56" t="s">
        <v>1307</v>
      </c>
      <c r="E215" s="56" t="s">
        <v>1348</v>
      </c>
      <c r="F215" s="56" t="s">
        <v>1213</v>
      </c>
      <c r="G215" s="56" t="s">
        <v>1439</v>
      </c>
      <c r="H215" s="56"/>
    </row>
    <row r="216" spans="1:8" ht="15" customHeight="1">
      <c r="A216" s="56">
        <v>215</v>
      </c>
      <c r="B216" s="56" t="s">
        <v>1807</v>
      </c>
      <c r="C216" s="56" t="s">
        <v>1808</v>
      </c>
      <c r="D216" s="56" t="s">
        <v>1307</v>
      </c>
      <c r="E216" s="56" t="s">
        <v>1416</v>
      </c>
      <c r="F216" s="56" t="s">
        <v>1230</v>
      </c>
      <c r="G216" s="56" t="s">
        <v>1439</v>
      </c>
      <c r="H216" s="56"/>
    </row>
    <row r="217" spans="1:8" ht="15" customHeight="1">
      <c r="A217" s="56">
        <v>216</v>
      </c>
      <c r="B217" s="56" t="s">
        <v>1809</v>
      </c>
      <c r="C217" s="56" t="s">
        <v>1810</v>
      </c>
      <c r="D217" s="56" t="s">
        <v>1307</v>
      </c>
      <c r="E217" s="56" t="s">
        <v>1348</v>
      </c>
      <c r="F217" s="56" t="s">
        <v>1213</v>
      </c>
      <c r="G217" s="56" t="s">
        <v>1392</v>
      </c>
      <c r="H217" s="56"/>
    </row>
    <row r="218" spans="1:8" ht="15" customHeight="1">
      <c r="A218" s="56">
        <v>217</v>
      </c>
      <c r="B218" s="56" t="s">
        <v>1811</v>
      </c>
      <c r="C218" s="56" t="s">
        <v>1812</v>
      </c>
      <c r="D218" s="56" t="s">
        <v>1307</v>
      </c>
      <c r="E218" s="56" t="s">
        <v>1352</v>
      </c>
      <c r="F218" s="56" t="s">
        <v>1221</v>
      </c>
      <c r="G218" s="56" t="s">
        <v>1392</v>
      </c>
      <c r="H218" s="56"/>
    </row>
    <row r="219" spans="1:8" ht="15" customHeight="1">
      <c r="A219" s="56">
        <v>218</v>
      </c>
      <c r="B219" s="56" t="s">
        <v>1813</v>
      </c>
      <c r="C219" s="56" t="s">
        <v>1814</v>
      </c>
      <c r="D219" s="56" t="s">
        <v>1307</v>
      </c>
      <c r="E219" s="56" t="s">
        <v>1348</v>
      </c>
      <c r="F219" s="56" t="s">
        <v>1213</v>
      </c>
      <c r="G219" s="56" t="s">
        <v>1400</v>
      </c>
      <c r="H219" s="56"/>
    </row>
    <row r="220" spans="1:8" ht="15" customHeight="1">
      <c r="A220" s="56">
        <v>219</v>
      </c>
      <c r="B220" s="56" t="s">
        <v>1815</v>
      </c>
      <c r="C220" s="56" t="s">
        <v>1816</v>
      </c>
      <c r="D220" s="56" t="s">
        <v>1307</v>
      </c>
      <c r="E220" s="56" t="s">
        <v>1352</v>
      </c>
      <c r="F220" s="56" t="s">
        <v>1221</v>
      </c>
      <c r="G220" s="56" t="s">
        <v>1400</v>
      </c>
      <c r="H220" s="56"/>
    </row>
    <row r="221" spans="1:8" ht="15" customHeight="1">
      <c r="A221" s="56">
        <v>220</v>
      </c>
      <c r="B221" s="56" t="s">
        <v>1817</v>
      </c>
      <c r="C221" s="56" t="s">
        <v>1818</v>
      </c>
      <c r="D221" s="56" t="s">
        <v>1307</v>
      </c>
      <c r="E221" s="56" t="s">
        <v>1352</v>
      </c>
      <c r="F221" s="56" t="s">
        <v>1221</v>
      </c>
      <c r="G221" s="56" t="s">
        <v>1400</v>
      </c>
      <c r="H221" s="56"/>
    </row>
    <row r="222" spans="1:8" ht="15" customHeight="1">
      <c r="A222" s="56">
        <v>221</v>
      </c>
      <c r="B222" s="56" t="s">
        <v>1819</v>
      </c>
      <c r="C222" s="56" t="s">
        <v>1820</v>
      </c>
      <c r="D222" s="56" t="s">
        <v>1291</v>
      </c>
      <c r="E222" s="56" t="s">
        <v>1356</v>
      </c>
      <c r="F222" s="56" t="s">
        <v>1208</v>
      </c>
      <c r="G222" s="56" t="s">
        <v>1349</v>
      </c>
      <c r="H222" s="56"/>
    </row>
    <row r="223" spans="1:8" ht="15" customHeight="1">
      <c r="A223" s="56">
        <v>222</v>
      </c>
      <c r="B223" s="56" t="s">
        <v>1821</v>
      </c>
      <c r="C223" s="56" t="s">
        <v>1822</v>
      </c>
      <c r="D223" s="56" t="s">
        <v>1291</v>
      </c>
      <c r="E223" s="56" t="s">
        <v>1348</v>
      </c>
      <c r="F223" s="56" t="s">
        <v>1213</v>
      </c>
      <c r="G223" s="56" t="s">
        <v>1823</v>
      </c>
      <c r="H223" s="56"/>
    </row>
    <row r="224" spans="1:8" ht="15" customHeight="1">
      <c r="A224" s="56">
        <v>223</v>
      </c>
      <c r="B224" s="56" t="s">
        <v>1824</v>
      </c>
      <c r="C224" s="56" t="s">
        <v>1825</v>
      </c>
      <c r="D224" s="56" t="s">
        <v>1291</v>
      </c>
      <c r="E224" s="56" t="s">
        <v>1348</v>
      </c>
      <c r="F224" s="56" t="s">
        <v>1213</v>
      </c>
      <c r="G224" s="56" t="s">
        <v>1460</v>
      </c>
      <c r="H224" s="56"/>
    </row>
    <row r="225" spans="1:8" ht="15" customHeight="1">
      <c r="A225" s="56">
        <v>224</v>
      </c>
      <c r="B225" s="56" t="s">
        <v>1826</v>
      </c>
      <c r="C225" s="56" t="s">
        <v>1291</v>
      </c>
      <c r="D225" s="56" t="s">
        <v>1291</v>
      </c>
      <c r="E225" s="56" t="s">
        <v>1348</v>
      </c>
      <c r="F225" s="56" t="s">
        <v>1213</v>
      </c>
      <c r="G225" s="56" t="s">
        <v>1371</v>
      </c>
      <c r="H225" s="56"/>
    </row>
    <row r="226" spans="1:8" ht="15" customHeight="1">
      <c r="A226" s="56">
        <v>225</v>
      </c>
      <c r="B226" s="56" t="s">
        <v>1827</v>
      </c>
      <c r="C226" s="56" t="s">
        <v>1828</v>
      </c>
      <c r="D226" s="56" t="s">
        <v>1291</v>
      </c>
      <c r="E226" s="56" t="s">
        <v>1348</v>
      </c>
      <c r="F226" s="56" t="s">
        <v>1213</v>
      </c>
      <c r="G226" s="56" t="s">
        <v>1425</v>
      </c>
      <c r="H226" s="56"/>
    </row>
    <row r="227" spans="1:8" ht="15" customHeight="1">
      <c r="A227" s="56">
        <v>226</v>
      </c>
      <c r="B227" s="56" t="s">
        <v>1829</v>
      </c>
      <c r="C227" s="56" t="s">
        <v>1830</v>
      </c>
      <c r="D227" s="56" t="s">
        <v>1291</v>
      </c>
      <c r="E227" s="56" t="s">
        <v>1348</v>
      </c>
      <c r="F227" s="56" t="s">
        <v>1213</v>
      </c>
      <c r="G227" s="56" t="s">
        <v>1425</v>
      </c>
      <c r="H227" s="56"/>
    </row>
    <row r="228" spans="1:8" ht="15" customHeight="1">
      <c r="A228" s="56">
        <v>227</v>
      </c>
      <c r="B228" s="56" t="s">
        <v>1831</v>
      </c>
      <c r="C228" s="56" t="s">
        <v>1832</v>
      </c>
      <c r="D228" s="56" t="s">
        <v>1291</v>
      </c>
      <c r="E228" s="56" t="s">
        <v>1348</v>
      </c>
      <c r="F228" s="56" t="s">
        <v>1213</v>
      </c>
      <c r="G228" s="56" t="s">
        <v>1376</v>
      </c>
      <c r="H228" s="56"/>
    </row>
    <row r="229" spans="1:8" ht="15" customHeight="1">
      <c r="A229" s="56">
        <v>228</v>
      </c>
      <c r="B229" s="56" t="s">
        <v>1833</v>
      </c>
      <c r="C229" s="56" t="s">
        <v>1834</v>
      </c>
      <c r="D229" s="56" t="s">
        <v>1291</v>
      </c>
      <c r="E229" s="56" t="s">
        <v>1348</v>
      </c>
      <c r="F229" s="56" t="s">
        <v>1213</v>
      </c>
      <c r="G229" s="56" t="s">
        <v>1406</v>
      </c>
      <c r="H229" s="56"/>
    </row>
    <row r="230" spans="1:8" ht="15" customHeight="1">
      <c r="A230" s="56">
        <v>229</v>
      </c>
      <c r="B230" s="56" t="s">
        <v>1835</v>
      </c>
      <c r="C230" s="56" t="s">
        <v>1836</v>
      </c>
      <c r="D230" s="56" t="s">
        <v>1291</v>
      </c>
      <c r="E230" s="56" t="s">
        <v>1348</v>
      </c>
      <c r="F230" s="56" t="s">
        <v>1213</v>
      </c>
      <c r="G230" s="56" t="s">
        <v>1439</v>
      </c>
      <c r="H230" s="56"/>
    </row>
    <row r="231" spans="1:8" ht="15" customHeight="1">
      <c r="A231" s="56">
        <v>230</v>
      </c>
      <c r="B231" s="56" t="s">
        <v>1837</v>
      </c>
      <c r="C231" s="56" t="s">
        <v>1838</v>
      </c>
      <c r="D231" s="56" t="s">
        <v>1291</v>
      </c>
      <c r="E231" s="56" t="s">
        <v>1356</v>
      </c>
      <c r="F231" s="56" t="s">
        <v>1208</v>
      </c>
      <c r="G231" s="56" t="s">
        <v>1439</v>
      </c>
      <c r="H231" s="56"/>
    </row>
    <row r="232" spans="1:8" ht="15" customHeight="1">
      <c r="A232" s="56">
        <v>231</v>
      </c>
      <c r="B232" s="56" t="s">
        <v>1839</v>
      </c>
      <c r="C232" s="56" t="s">
        <v>1840</v>
      </c>
      <c r="D232" s="56" t="s">
        <v>1326</v>
      </c>
      <c r="E232" s="56" t="s">
        <v>1348</v>
      </c>
      <c r="F232" s="56" t="s">
        <v>1213</v>
      </c>
      <c r="G232" s="56" t="s">
        <v>1349</v>
      </c>
      <c r="H232" s="56"/>
    </row>
    <row r="233" spans="1:8" ht="15" customHeight="1">
      <c r="A233" s="56">
        <v>232</v>
      </c>
      <c r="B233" s="56" t="s">
        <v>1841</v>
      </c>
      <c r="C233" s="56" t="s">
        <v>1842</v>
      </c>
      <c r="D233" s="56" t="s">
        <v>1326</v>
      </c>
      <c r="E233" s="56" t="s">
        <v>1348</v>
      </c>
      <c r="F233" s="56" t="s">
        <v>1213</v>
      </c>
      <c r="G233" s="56" t="s">
        <v>1409</v>
      </c>
      <c r="H233" s="56"/>
    </row>
    <row r="234" spans="1:8" ht="15" customHeight="1">
      <c r="A234" s="56">
        <v>233</v>
      </c>
      <c r="B234" s="56" t="s">
        <v>1843</v>
      </c>
      <c r="C234" s="56" t="s">
        <v>1844</v>
      </c>
      <c r="D234" s="56" t="s">
        <v>1326</v>
      </c>
      <c r="E234" s="56" t="s">
        <v>1348</v>
      </c>
      <c r="F234" s="56" t="s">
        <v>1213</v>
      </c>
      <c r="G234" s="56" t="s">
        <v>1357</v>
      </c>
      <c r="H234" s="56"/>
    </row>
    <row r="235" spans="1:8" ht="15" customHeight="1">
      <c r="A235" s="56">
        <v>234</v>
      </c>
      <c r="B235" s="56" t="s">
        <v>1845</v>
      </c>
      <c r="C235" s="56" t="s">
        <v>1846</v>
      </c>
      <c r="D235" s="56" t="s">
        <v>1326</v>
      </c>
      <c r="E235" s="56" t="s">
        <v>1348</v>
      </c>
      <c r="F235" s="56" t="s">
        <v>1213</v>
      </c>
      <c r="G235" s="56" t="s">
        <v>1357</v>
      </c>
      <c r="H235" s="56"/>
    </row>
    <row r="236" spans="1:8" ht="15" customHeight="1">
      <c r="A236" s="56">
        <v>235</v>
      </c>
      <c r="B236" s="56" t="s">
        <v>1847</v>
      </c>
      <c r="C236" s="56" t="s">
        <v>1848</v>
      </c>
      <c r="D236" s="56" t="s">
        <v>1326</v>
      </c>
      <c r="E236" s="56" t="s">
        <v>1352</v>
      </c>
      <c r="F236" s="56" t="s">
        <v>1221</v>
      </c>
      <c r="G236" s="56" t="s">
        <v>1360</v>
      </c>
      <c r="H236" s="56"/>
    </row>
    <row r="237" spans="1:8" ht="15" customHeight="1">
      <c r="A237" s="56">
        <v>236</v>
      </c>
      <c r="B237" s="56" t="s">
        <v>1849</v>
      </c>
      <c r="C237" s="56" t="s">
        <v>1850</v>
      </c>
      <c r="D237" s="56" t="s">
        <v>1326</v>
      </c>
      <c r="E237" s="56" t="s">
        <v>1348</v>
      </c>
      <c r="F237" s="56" t="s">
        <v>1213</v>
      </c>
      <c r="G237" s="56" t="s">
        <v>1363</v>
      </c>
      <c r="H237" s="56"/>
    </row>
    <row r="238" spans="1:8" ht="15" customHeight="1">
      <c r="A238" s="56">
        <v>237</v>
      </c>
      <c r="B238" s="56" t="s">
        <v>1851</v>
      </c>
      <c r="C238" s="56" t="s">
        <v>1852</v>
      </c>
      <c r="D238" s="56" t="s">
        <v>1326</v>
      </c>
      <c r="E238" s="56" t="s">
        <v>1348</v>
      </c>
      <c r="F238" s="56" t="s">
        <v>1213</v>
      </c>
      <c r="G238" s="56" t="s">
        <v>1368</v>
      </c>
      <c r="H238" s="56"/>
    </row>
    <row r="239" spans="1:8" ht="15" customHeight="1">
      <c r="A239" s="56">
        <v>238</v>
      </c>
      <c r="B239" s="56" t="s">
        <v>1853</v>
      </c>
      <c r="C239" s="56" t="s">
        <v>1854</v>
      </c>
      <c r="D239" s="56" t="s">
        <v>1326</v>
      </c>
      <c r="E239" s="56" t="s">
        <v>1352</v>
      </c>
      <c r="F239" s="56" t="s">
        <v>1221</v>
      </c>
      <c r="G239" s="56" t="s">
        <v>1419</v>
      </c>
      <c r="H239" s="56"/>
    </row>
    <row r="240" spans="1:8" ht="15" customHeight="1">
      <c r="A240" s="56">
        <v>239</v>
      </c>
      <c r="B240" s="56" t="s">
        <v>1855</v>
      </c>
      <c r="C240" s="56" t="s">
        <v>1856</v>
      </c>
      <c r="D240" s="56" t="s">
        <v>1326</v>
      </c>
      <c r="E240" s="56" t="s">
        <v>1348</v>
      </c>
      <c r="F240" s="56" t="s">
        <v>1213</v>
      </c>
      <c r="G240" s="56" t="s">
        <v>1422</v>
      </c>
      <c r="H240" s="56"/>
    </row>
    <row r="241" spans="1:8" ht="15" customHeight="1">
      <c r="A241" s="56">
        <v>240</v>
      </c>
      <c r="B241" s="56" t="s">
        <v>1857</v>
      </c>
      <c r="C241" s="56" t="s">
        <v>1326</v>
      </c>
      <c r="D241" s="56" t="s">
        <v>1326</v>
      </c>
      <c r="E241" s="56" t="s">
        <v>1348</v>
      </c>
      <c r="F241" s="56" t="s">
        <v>1213</v>
      </c>
      <c r="G241" s="56" t="s">
        <v>1425</v>
      </c>
      <c r="H241" s="56"/>
    </row>
    <row r="242" spans="1:8" ht="15" customHeight="1">
      <c r="A242" s="56">
        <v>241</v>
      </c>
      <c r="B242" s="56" t="s">
        <v>1858</v>
      </c>
      <c r="C242" s="56" t="s">
        <v>1859</v>
      </c>
      <c r="D242" s="56" t="s">
        <v>1326</v>
      </c>
      <c r="E242" s="56" t="s">
        <v>1348</v>
      </c>
      <c r="F242" s="56" t="s">
        <v>1213</v>
      </c>
      <c r="G242" s="56" t="s">
        <v>1432</v>
      </c>
      <c r="H242" s="56"/>
    </row>
    <row r="243" spans="1:8" ht="15" customHeight="1">
      <c r="A243" s="56">
        <v>242</v>
      </c>
      <c r="B243" s="56" t="s">
        <v>1860</v>
      </c>
      <c r="C243" s="56" t="s">
        <v>1861</v>
      </c>
      <c r="D243" s="56" t="s">
        <v>1326</v>
      </c>
      <c r="E243" s="56" t="s">
        <v>1356</v>
      </c>
      <c r="F243" s="56" t="s">
        <v>1208</v>
      </c>
      <c r="G243" s="56" t="s">
        <v>1376</v>
      </c>
      <c r="H243" s="56"/>
    </row>
    <row r="244" spans="1:8" ht="15" customHeight="1">
      <c r="A244" s="56">
        <v>243</v>
      </c>
      <c r="B244" s="56" t="s">
        <v>1862</v>
      </c>
      <c r="C244" s="56" t="s">
        <v>1863</v>
      </c>
      <c r="D244" s="56" t="s">
        <v>1326</v>
      </c>
      <c r="E244" s="56" t="s">
        <v>1348</v>
      </c>
      <c r="F244" s="56" t="s">
        <v>1213</v>
      </c>
      <c r="G244" s="56" t="s">
        <v>1383</v>
      </c>
      <c r="H244" s="56"/>
    </row>
    <row r="245" spans="1:8" ht="15" customHeight="1">
      <c r="A245" s="56">
        <v>244</v>
      </c>
      <c r="B245" s="56" t="s">
        <v>1864</v>
      </c>
      <c r="C245" s="56" t="s">
        <v>1865</v>
      </c>
      <c r="D245" s="56" t="s">
        <v>1326</v>
      </c>
      <c r="E245" s="56" t="s">
        <v>1348</v>
      </c>
      <c r="F245" s="56" t="s">
        <v>1213</v>
      </c>
      <c r="G245" s="56" t="s">
        <v>1383</v>
      </c>
      <c r="H245" s="56"/>
    </row>
    <row r="246" spans="1:8" ht="15" customHeight="1">
      <c r="A246" s="56">
        <v>245</v>
      </c>
      <c r="B246" s="56" t="s">
        <v>1866</v>
      </c>
      <c r="C246" s="56" t="s">
        <v>1867</v>
      </c>
      <c r="D246" s="56" t="s">
        <v>1326</v>
      </c>
      <c r="E246" s="56" t="s">
        <v>1348</v>
      </c>
      <c r="F246" s="56" t="s">
        <v>1213</v>
      </c>
      <c r="G246" s="56" t="s">
        <v>1383</v>
      </c>
      <c r="H246" s="56"/>
    </row>
    <row r="247" spans="1:8" ht="15" customHeight="1">
      <c r="A247" s="56">
        <v>246</v>
      </c>
      <c r="B247" s="56" t="s">
        <v>1868</v>
      </c>
      <c r="C247" s="56" t="s">
        <v>1869</v>
      </c>
      <c r="D247" s="56" t="s">
        <v>1326</v>
      </c>
      <c r="E247" s="56" t="s">
        <v>1348</v>
      </c>
      <c r="F247" s="56" t="s">
        <v>1213</v>
      </c>
      <c r="G247" s="56" t="s">
        <v>1465</v>
      </c>
      <c r="H247" s="56"/>
    </row>
    <row r="248" spans="1:8" ht="15" customHeight="1">
      <c r="A248" s="56">
        <v>247</v>
      </c>
      <c r="B248" s="56" t="s">
        <v>1870</v>
      </c>
      <c r="C248" s="56" t="s">
        <v>1871</v>
      </c>
      <c r="D248" s="56" t="s">
        <v>1326</v>
      </c>
      <c r="E248" s="56" t="s">
        <v>1348</v>
      </c>
      <c r="F248" s="56" t="s">
        <v>1213</v>
      </c>
      <c r="G248" s="56" t="s">
        <v>1439</v>
      </c>
      <c r="H248" s="56"/>
    </row>
    <row r="249" spans="1:8" ht="15" customHeight="1">
      <c r="A249" s="56">
        <v>248</v>
      </c>
      <c r="B249" s="56" t="s">
        <v>1872</v>
      </c>
      <c r="C249" s="56" t="s">
        <v>1873</v>
      </c>
      <c r="D249" s="56" t="s">
        <v>1326</v>
      </c>
      <c r="E249" s="56" t="s">
        <v>1348</v>
      </c>
      <c r="F249" s="56" t="s">
        <v>1213</v>
      </c>
      <c r="G249" s="56" t="s">
        <v>1392</v>
      </c>
      <c r="H249" s="56"/>
    </row>
    <row r="250" spans="1:8" ht="15" customHeight="1">
      <c r="A250" s="56">
        <v>249</v>
      </c>
      <c r="B250" s="56" t="s">
        <v>1874</v>
      </c>
      <c r="C250" s="56" t="s">
        <v>1875</v>
      </c>
      <c r="D250" s="56" t="s">
        <v>1326</v>
      </c>
      <c r="E250" s="56" t="s">
        <v>1356</v>
      </c>
      <c r="F250" s="56" t="s">
        <v>1208</v>
      </c>
      <c r="G250" s="56" t="s">
        <v>1392</v>
      </c>
      <c r="H250" s="56"/>
    </row>
    <row r="251" spans="1:8" ht="15" customHeight="1">
      <c r="A251" s="56">
        <v>250</v>
      </c>
      <c r="B251" s="56" t="s">
        <v>1876</v>
      </c>
      <c r="C251" s="56" t="s">
        <v>1877</v>
      </c>
      <c r="D251" s="56" t="s">
        <v>1326</v>
      </c>
      <c r="E251" s="56" t="s">
        <v>1348</v>
      </c>
      <c r="F251" s="56" t="s">
        <v>1213</v>
      </c>
      <c r="G251" s="56" t="s">
        <v>1532</v>
      </c>
      <c r="H251" s="56"/>
    </row>
    <row r="252" spans="1:8" ht="15" customHeight="1">
      <c r="A252" s="56">
        <v>251</v>
      </c>
      <c r="B252" s="56" t="s">
        <v>1878</v>
      </c>
      <c r="C252" s="56" t="s">
        <v>1879</v>
      </c>
      <c r="D252" s="56" t="s">
        <v>1326</v>
      </c>
      <c r="E252" s="56" t="s">
        <v>1348</v>
      </c>
      <c r="F252" s="56" t="s">
        <v>1213</v>
      </c>
      <c r="G252" s="56" t="s">
        <v>1549</v>
      </c>
      <c r="H252" s="56"/>
    </row>
    <row r="253" spans="1:8" ht="15" customHeight="1">
      <c r="A253" s="56">
        <v>252</v>
      </c>
      <c r="B253" s="56" t="s">
        <v>1880</v>
      </c>
      <c r="C253" s="56" t="s">
        <v>1881</v>
      </c>
      <c r="D253" s="56" t="s">
        <v>1318</v>
      </c>
      <c r="E253" s="56" t="s">
        <v>1348</v>
      </c>
      <c r="F253" s="56" t="s">
        <v>1213</v>
      </c>
      <c r="G253" s="56" t="s">
        <v>1357</v>
      </c>
      <c r="H253" s="56"/>
    </row>
    <row r="254" spans="1:8" ht="15" customHeight="1">
      <c r="A254" s="56">
        <v>253</v>
      </c>
      <c r="B254" s="56" t="s">
        <v>1882</v>
      </c>
      <c r="C254" s="56" t="s">
        <v>1883</v>
      </c>
      <c r="D254" s="56" t="s">
        <v>1318</v>
      </c>
      <c r="E254" s="56" t="s">
        <v>1352</v>
      </c>
      <c r="F254" s="56" t="s">
        <v>1221</v>
      </c>
      <c r="G254" s="56" t="s">
        <v>1357</v>
      </c>
      <c r="H254" s="56"/>
    </row>
    <row r="255" spans="1:8" ht="15" customHeight="1">
      <c r="A255" s="56">
        <v>254</v>
      </c>
      <c r="B255" s="56" t="s">
        <v>1884</v>
      </c>
      <c r="C255" s="56" t="s">
        <v>1885</v>
      </c>
      <c r="D255" s="56" t="s">
        <v>1318</v>
      </c>
      <c r="E255" s="56" t="s">
        <v>1352</v>
      </c>
      <c r="F255" s="56" t="s">
        <v>1221</v>
      </c>
      <c r="G255" s="56" t="s">
        <v>1694</v>
      </c>
      <c r="H255" s="56"/>
    </row>
    <row r="256" spans="1:8" ht="15" customHeight="1">
      <c r="A256" s="56">
        <v>255</v>
      </c>
      <c r="B256" s="56" t="s">
        <v>1886</v>
      </c>
      <c r="C256" s="56" t="s">
        <v>1887</v>
      </c>
      <c r="D256" s="56" t="s">
        <v>1318</v>
      </c>
      <c r="E256" s="56" t="s">
        <v>1348</v>
      </c>
      <c r="F256" s="56" t="s">
        <v>1213</v>
      </c>
      <c r="G256" s="56" t="s">
        <v>1368</v>
      </c>
      <c r="H256" s="56"/>
    </row>
    <row r="257" spans="1:8" ht="15" customHeight="1">
      <c r="A257" s="56">
        <v>256</v>
      </c>
      <c r="B257" s="56" t="s">
        <v>1888</v>
      </c>
      <c r="C257" s="56" t="s">
        <v>1889</v>
      </c>
      <c r="D257" s="56" t="s">
        <v>1318</v>
      </c>
      <c r="E257" s="56" t="s">
        <v>1348</v>
      </c>
      <c r="F257" s="56" t="s">
        <v>1213</v>
      </c>
      <c r="G257" s="56" t="s">
        <v>1500</v>
      </c>
      <c r="H257" s="56"/>
    </row>
    <row r="258" spans="1:8" ht="15" customHeight="1">
      <c r="A258" s="56">
        <v>257</v>
      </c>
      <c r="B258" s="56" t="s">
        <v>1890</v>
      </c>
      <c r="C258" s="56" t="s">
        <v>1891</v>
      </c>
      <c r="D258" s="56" t="s">
        <v>1318</v>
      </c>
      <c r="E258" s="56" t="s">
        <v>1352</v>
      </c>
      <c r="F258" s="56" t="s">
        <v>1221</v>
      </c>
      <c r="G258" s="56" t="s">
        <v>1509</v>
      </c>
      <c r="H258" s="56"/>
    </row>
    <row r="259" spans="1:8" ht="15" customHeight="1">
      <c r="A259" s="56">
        <v>258</v>
      </c>
      <c r="B259" s="56" t="s">
        <v>1892</v>
      </c>
      <c r="C259" s="56" t="s">
        <v>1893</v>
      </c>
      <c r="D259" s="56" t="s">
        <v>1318</v>
      </c>
      <c r="E259" s="56" t="s">
        <v>1352</v>
      </c>
      <c r="F259" s="56" t="s">
        <v>1221</v>
      </c>
      <c r="G259" s="56" t="s">
        <v>1596</v>
      </c>
      <c r="H259" s="56"/>
    </row>
    <row r="260" spans="1:8" ht="15" customHeight="1">
      <c r="A260" s="56">
        <v>259</v>
      </c>
      <c r="B260" s="56" t="s">
        <v>1894</v>
      </c>
      <c r="C260" s="56" t="s">
        <v>1895</v>
      </c>
      <c r="D260" s="56" t="s">
        <v>1318</v>
      </c>
      <c r="E260" s="56" t="s">
        <v>1352</v>
      </c>
      <c r="F260" s="56" t="s">
        <v>1221</v>
      </c>
      <c r="G260" s="56" t="s">
        <v>1596</v>
      </c>
      <c r="H260" s="56"/>
    </row>
    <row r="261" spans="1:8" ht="15" customHeight="1">
      <c r="A261" s="56">
        <v>260</v>
      </c>
      <c r="B261" s="56" t="s">
        <v>1896</v>
      </c>
      <c r="C261" s="56" t="s">
        <v>1897</v>
      </c>
      <c r="D261" s="56" t="s">
        <v>1318</v>
      </c>
      <c r="E261" s="56" t="s">
        <v>1352</v>
      </c>
      <c r="F261" s="56" t="s">
        <v>1221</v>
      </c>
      <c r="G261" s="56" t="s">
        <v>1596</v>
      </c>
      <c r="H261" s="56"/>
    </row>
    <row r="262" spans="1:8" ht="15" customHeight="1">
      <c r="A262" s="56">
        <v>261</v>
      </c>
      <c r="B262" s="56" t="s">
        <v>1898</v>
      </c>
      <c r="C262" s="56" t="s">
        <v>1899</v>
      </c>
      <c r="D262" s="56" t="s">
        <v>1318</v>
      </c>
      <c r="E262" s="56" t="s">
        <v>1348</v>
      </c>
      <c r="F262" s="56" t="s">
        <v>1213</v>
      </c>
      <c r="G262" s="56" t="s">
        <v>1371</v>
      </c>
      <c r="H262" s="56"/>
    </row>
    <row r="263" spans="1:8" ht="15" customHeight="1">
      <c r="A263" s="56">
        <v>262</v>
      </c>
      <c r="B263" s="56" t="s">
        <v>1900</v>
      </c>
      <c r="C263" s="56" t="s">
        <v>1901</v>
      </c>
      <c r="D263" s="56" t="s">
        <v>1318</v>
      </c>
      <c r="E263" s="56" t="s">
        <v>1348</v>
      </c>
      <c r="F263" s="56" t="s">
        <v>1213</v>
      </c>
      <c r="G263" s="56" t="s">
        <v>1371</v>
      </c>
      <c r="H263" s="56"/>
    </row>
    <row r="264" spans="1:8" ht="15" customHeight="1">
      <c r="A264" s="56">
        <v>263</v>
      </c>
      <c r="B264" s="56" t="s">
        <v>1902</v>
      </c>
      <c r="C264" s="56" t="s">
        <v>1903</v>
      </c>
      <c r="D264" s="56" t="s">
        <v>1318</v>
      </c>
      <c r="E264" s="56" t="s">
        <v>1348</v>
      </c>
      <c r="F264" s="56" t="s">
        <v>1213</v>
      </c>
      <c r="G264" s="56" t="s">
        <v>1371</v>
      </c>
      <c r="H264" s="56"/>
    </row>
    <row r="265" spans="1:8" ht="15" customHeight="1">
      <c r="A265" s="56">
        <v>264</v>
      </c>
      <c r="B265" s="56" t="s">
        <v>1904</v>
      </c>
      <c r="C265" s="56" t="s">
        <v>1905</v>
      </c>
      <c r="D265" s="56" t="s">
        <v>1318</v>
      </c>
      <c r="E265" s="56" t="s">
        <v>1348</v>
      </c>
      <c r="F265" s="56" t="s">
        <v>1213</v>
      </c>
      <c r="G265" s="56" t="s">
        <v>1425</v>
      </c>
      <c r="H265" s="56"/>
    </row>
    <row r="266" spans="1:8" ht="15" customHeight="1">
      <c r="A266" s="56">
        <v>265</v>
      </c>
      <c r="B266" s="56" t="s">
        <v>1906</v>
      </c>
      <c r="C266" s="56" t="s">
        <v>1907</v>
      </c>
      <c r="D266" s="56" t="s">
        <v>1318</v>
      </c>
      <c r="E266" s="56" t="s">
        <v>1348</v>
      </c>
      <c r="F266" s="56" t="s">
        <v>1213</v>
      </c>
      <c r="G266" s="56" t="s">
        <v>1465</v>
      </c>
      <c r="H266" s="56"/>
    </row>
    <row r="267" spans="1:8" ht="15" customHeight="1">
      <c r="A267" s="56">
        <v>266</v>
      </c>
      <c r="B267" s="56" t="s">
        <v>1908</v>
      </c>
      <c r="C267" s="56" t="s">
        <v>1909</v>
      </c>
      <c r="D267" s="56" t="s">
        <v>1318</v>
      </c>
      <c r="E267" s="56" t="s">
        <v>1348</v>
      </c>
      <c r="F267" s="56" t="s">
        <v>1213</v>
      </c>
      <c r="G267" s="56" t="s">
        <v>1406</v>
      </c>
      <c r="H267" s="56"/>
    </row>
    <row r="268" spans="1:8" ht="15" customHeight="1">
      <c r="A268" s="56">
        <v>267</v>
      </c>
      <c r="B268" s="56" t="s">
        <v>1910</v>
      </c>
      <c r="C268" s="56" t="s">
        <v>1911</v>
      </c>
      <c r="D268" s="56" t="s">
        <v>1318</v>
      </c>
      <c r="E268" s="56" t="s">
        <v>1348</v>
      </c>
      <c r="F268" s="56" t="s">
        <v>1213</v>
      </c>
      <c r="G268" s="56" t="s">
        <v>1392</v>
      </c>
      <c r="H268" s="56"/>
    </row>
    <row r="269" spans="1:8" ht="15" customHeight="1">
      <c r="A269" s="56">
        <v>268</v>
      </c>
      <c r="B269" s="56" t="s">
        <v>1912</v>
      </c>
      <c r="C269" s="56" t="s">
        <v>1913</v>
      </c>
      <c r="D269" s="56" t="s">
        <v>1318</v>
      </c>
      <c r="E269" s="56" t="s">
        <v>1348</v>
      </c>
      <c r="F269" s="56" t="s">
        <v>1213</v>
      </c>
      <c r="G269" s="56" t="s">
        <v>1397</v>
      </c>
      <c r="H269" s="56"/>
    </row>
    <row r="270" spans="1:8" ht="15" customHeight="1">
      <c r="A270" s="56">
        <v>269</v>
      </c>
      <c r="B270" s="56" t="s">
        <v>1914</v>
      </c>
      <c r="C270" s="56" t="s">
        <v>1915</v>
      </c>
      <c r="D270" s="56" t="s">
        <v>1318</v>
      </c>
      <c r="E270" s="56" t="s">
        <v>1348</v>
      </c>
      <c r="F270" s="56" t="s">
        <v>1213</v>
      </c>
      <c r="G270" s="56" t="s">
        <v>1397</v>
      </c>
      <c r="H270" s="56"/>
    </row>
    <row r="271" spans="1:8" ht="15" customHeight="1">
      <c r="A271" s="56">
        <v>270</v>
      </c>
      <c r="B271" s="56" t="s">
        <v>1916</v>
      </c>
      <c r="C271" s="56" t="s">
        <v>1917</v>
      </c>
      <c r="D271" s="56" t="s">
        <v>1318</v>
      </c>
      <c r="E271" s="56" t="s">
        <v>1348</v>
      </c>
      <c r="F271" s="56" t="s">
        <v>1213</v>
      </c>
      <c r="G271" s="56" t="s">
        <v>1500</v>
      </c>
      <c r="H271" s="56"/>
    </row>
    <row r="272" spans="1:8" ht="15" customHeight="1">
      <c r="A272" s="56">
        <v>271</v>
      </c>
      <c r="B272" s="56" t="s">
        <v>1918</v>
      </c>
      <c r="C272" s="56" t="s">
        <v>1919</v>
      </c>
      <c r="D272" s="56" t="s">
        <v>1318</v>
      </c>
      <c r="E272" s="56" t="s">
        <v>1348</v>
      </c>
      <c r="F272" s="56" t="s">
        <v>1213</v>
      </c>
      <c r="G272" s="56" t="s">
        <v>1605</v>
      </c>
      <c r="H272" s="56"/>
    </row>
    <row r="273" spans="1:8" ht="15" customHeight="1">
      <c r="A273" s="56">
        <v>272</v>
      </c>
      <c r="B273" s="56" t="s">
        <v>1920</v>
      </c>
      <c r="C273" s="56" t="s">
        <v>1921</v>
      </c>
      <c r="D273" s="56" t="s">
        <v>1318</v>
      </c>
      <c r="E273" s="56" t="s">
        <v>1348</v>
      </c>
      <c r="F273" s="56" t="s">
        <v>1213</v>
      </c>
      <c r="G273" s="56" t="s">
        <v>1549</v>
      </c>
      <c r="H273" s="56"/>
    </row>
    <row r="274" spans="1:8" ht="15" customHeight="1">
      <c r="A274" s="56">
        <v>273</v>
      </c>
      <c r="B274" s="56" t="s">
        <v>1922</v>
      </c>
      <c r="C274" s="56" t="s">
        <v>1923</v>
      </c>
      <c r="D274" s="56" t="s">
        <v>1318</v>
      </c>
      <c r="E274" s="56" t="s">
        <v>1348</v>
      </c>
      <c r="F274" s="56" t="s">
        <v>1213</v>
      </c>
      <c r="G274" s="56" t="s">
        <v>1439</v>
      </c>
      <c r="H274" s="56"/>
    </row>
    <row r="275" spans="1:8" ht="15" customHeight="1">
      <c r="A275" s="56">
        <v>274</v>
      </c>
      <c r="B275" s="56" t="s">
        <v>1924</v>
      </c>
      <c r="C275" s="56" t="s">
        <v>1925</v>
      </c>
      <c r="D275" s="56" t="s">
        <v>1314</v>
      </c>
      <c r="E275" s="56" t="s">
        <v>1348</v>
      </c>
      <c r="F275" s="56" t="s">
        <v>1213</v>
      </c>
      <c r="G275" s="56" t="s">
        <v>1349</v>
      </c>
      <c r="H275" s="56"/>
    </row>
    <row r="276" spans="1:8" ht="15" customHeight="1">
      <c r="A276" s="56">
        <v>275</v>
      </c>
      <c r="B276" s="56" t="s">
        <v>1926</v>
      </c>
      <c r="C276" s="56" t="s">
        <v>1927</v>
      </c>
      <c r="D276" s="56" t="s">
        <v>1314</v>
      </c>
      <c r="E276" s="56" t="s">
        <v>1352</v>
      </c>
      <c r="F276" s="56" t="s">
        <v>1221</v>
      </c>
      <c r="G276" s="56" t="s">
        <v>1409</v>
      </c>
      <c r="H276" s="56"/>
    </row>
    <row r="277" spans="1:8" ht="15" customHeight="1">
      <c r="A277" s="56">
        <v>276</v>
      </c>
      <c r="B277" s="56" t="s">
        <v>1928</v>
      </c>
      <c r="C277" s="56" t="s">
        <v>1929</v>
      </c>
      <c r="D277" s="56" t="s">
        <v>1314</v>
      </c>
      <c r="E277" s="56" t="s">
        <v>1348</v>
      </c>
      <c r="F277" s="56" t="s">
        <v>1213</v>
      </c>
      <c r="G277" s="56" t="s">
        <v>1409</v>
      </c>
      <c r="H277" s="56"/>
    </row>
    <row r="278" spans="1:8" ht="15" customHeight="1">
      <c r="A278" s="56">
        <v>277</v>
      </c>
      <c r="B278" s="56" t="s">
        <v>1930</v>
      </c>
      <c r="C278" s="56" t="s">
        <v>1931</v>
      </c>
      <c r="D278" s="56" t="s">
        <v>1314</v>
      </c>
      <c r="E278" s="56" t="s">
        <v>1348</v>
      </c>
      <c r="F278" s="56" t="s">
        <v>1213</v>
      </c>
      <c r="G278" s="56" t="s">
        <v>1409</v>
      </c>
      <c r="H278" s="56"/>
    </row>
    <row r="279" spans="1:8" ht="15" customHeight="1">
      <c r="A279" s="56">
        <v>278</v>
      </c>
      <c r="B279" s="56" t="s">
        <v>1932</v>
      </c>
      <c r="C279" s="56" t="s">
        <v>1933</v>
      </c>
      <c r="D279" s="56" t="s">
        <v>1314</v>
      </c>
      <c r="E279" s="56" t="s">
        <v>1348</v>
      </c>
      <c r="F279" s="56" t="s">
        <v>1213</v>
      </c>
      <c r="G279" s="56" t="s">
        <v>1360</v>
      </c>
      <c r="H279" s="56"/>
    </row>
    <row r="280" spans="1:8" ht="15" customHeight="1">
      <c r="A280" s="56">
        <v>279</v>
      </c>
      <c r="B280" s="56" t="s">
        <v>1934</v>
      </c>
      <c r="C280" s="56" t="s">
        <v>1935</v>
      </c>
      <c r="D280" s="56" t="s">
        <v>1314</v>
      </c>
      <c r="E280" s="56" t="s">
        <v>1348</v>
      </c>
      <c r="F280" s="56" t="s">
        <v>1213</v>
      </c>
      <c r="G280" s="56" t="s">
        <v>1500</v>
      </c>
      <c r="H280" s="56"/>
    </row>
    <row r="281" spans="1:8" ht="15" customHeight="1">
      <c r="A281" s="56">
        <v>280</v>
      </c>
      <c r="B281" s="56" t="s">
        <v>1936</v>
      </c>
      <c r="C281" s="56" t="s">
        <v>1937</v>
      </c>
      <c r="D281" s="56" t="s">
        <v>1314</v>
      </c>
      <c r="E281" s="56" t="s">
        <v>1348</v>
      </c>
      <c r="F281" s="56" t="s">
        <v>1213</v>
      </c>
      <c r="G281" s="56" t="s">
        <v>1500</v>
      </c>
      <c r="H281" s="56"/>
    </row>
    <row r="282" spans="1:8" ht="15" customHeight="1">
      <c r="A282" s="56">
        <v>281</v>
      </c>
      <c r="B282" s="56" t="s">
        <v>1938</v>
      </c>
      <c r="C282" s="56" t="s">
        <v>1939</v>
      </c>
      <c r="D282" s="56" t="s">
        <v>1314</v>
      </c>
      <c r="E282" s="56" t="s">
        <v>1348</v>
      </c>
      <c r="F282" s="56" t="s">
        <v>1213</v>
      </c>
      <c r="G282" s="56" t="s">
        <v>1500</v>
      </c>
      <c r="H282" s="56"/>
    </row>
    <row r="283" spans="1:8" ht="15" customHeight="1">
      <c r="A283" s="56">
        <v>282</v>
      </c>
      <c r="B283" s="56" t="s">
        <v>1940</v>
      </c>
      <c r="C283" s="56" t="s">
        <v>1941</v>
      </c>
      <c r="D283" s="56" t="s">
        <v>1314</v>
      </c>
      <c r="E283" s="56" t="s">
        <v>1348</v>
      </c>
      <c r="F283" s="56" t="s">
        <v>1213</v>
      </c>
      <c r="G283" s="56" t="s">
        <v>1460</v>
      </c>
      <c r="H283" s="56"/>
    </row>
    <row r="284" spans="1:8" ht="15" customHeight="1">
      <c r="A284" s="56">
        <v>283</v>
      </c>
      <c r="B284" s="56" t="s">
        <v>1942</v>
      </c>
      <c r="C284" s="56" t="s">
        <v>1943</v>
      </c>
      <c r="D284" s="56" t="s">
        <v>1314</v>
      </c>
      <c r="E284" s="56" t="s">
        <v>1348</v>
      </c>
      <c r="F284" s="56" t="s">
        <v>1213</v>
      </c>
      <c r="G284" s="56" t="s">
        <v>1419</v>
      </c>
      <c r="H284" s="56"/>
    </row>
    <row r="285" spans="1:8" ht="15" customHeight="1">
      <c r="A285" s="56">
        <v>284</v>
      </c>
      <c r="B285" s="56" t="s">
        <v>1944</v>
      </c>
      <c r="C285" s="56" t="s">
        <v>1945</v>
      </c>
      <c r="D285" s="56" t="s">
        <v>1314</v>
      </c>
      <c r="E285" s="56" t="s">
        <v>1352</v>
      </c>
      <c r="F285" s="56" t="s">
        <v>1221</v>
      </c>
      <c r="G285" s="56" t="s">
        <v>1419</v>
      </c>
      <c r="H285" s="56"/>
    </row>
    <row r="286" spans="1:8" ht="15" customHeight="1">
      <c r="A286" s="56">
        <v>285</v>
      </c>
      <c r="B286" s="56" t="s">
        <v>1946</v>
      </c>
      <c r="C286" s="56" t="s">
        <v>1947</v>
      </c>
      <c r="D286" s="56" t="s">
        <v>1314</v>
      </c>
      <c r="E286" s="56" t="s">
        <v>1348</v>
      </c>
      <c r="F286" s="56" t="s">
        <v>1213</v>
      </c>
      <c r="G286" s="56" t="s">
        <v>1371</v>
      </c>
      <c r="H286" s="56"/>
    </row>
    <row r="287" spans="1:8" ht="15" customHeight="1">
      <c r="A287" s="56">
        <v>286</v>
      </c>
      <c r="B287" s="56" t="s">
        <v>1948</v>
      </c>
      <c r="C287" s="56" t="s">
        <v>1949</v>
      </c>
      <c r="D287" s="56" t="s">
        <v>1314</v>
      </c>
      <c r="E287" s="56" t="s">
        <v>1352</v>
      </c>
      <c r="F287" s="56" t="s">
        <v>1221</v>
      </c>
      <c r="G287" s="56" t="s">
        <v>1425</v>
      </c>
      <c r="H287" s="56"/>
    </row>
    <row r="288" spans="1:8" ht="15" customHeight="1">
      <c r="A288" s="56">
        <v>287</v>
      </c>
      <c r="B288" s="56" t="s">
        <v>1950</v>
      </c>
      <c r="C288" s="56" t="s">
        <v>1951</v>
      </c>
      <c r="D288" s="56" t="s">
        <v>1314</v>
      </c>
      <c r="E288" s="56" t="s">
        <v>1348</v>
      </c>
      <c r="F288" s="56" t="s">
        <v>1213</v>
      </c>
      <c r="G288" s="56" t="s">
        <v>1425</v>
      </c>
      <c r="H288" s="56"/>
    </row>
    <row r="289" spans="1:8" ht="15" customHeight="1">
      <c r="A289" s="56">
        <v>288</v>
      </c>
      <c r="B289" s="56" t="s">
        <v>1952</v>
      </c>
      <c r="C289" s="56" t="s">
        <v>1953</v>
      </c>
      <c r="D289" s="56" t="s">
        <v>1314</v>
      </c>
      <c r="E289" s="56" t="s">
        <v>1348</v>
      </c>
      <c r="F289" s="56" t="s">
        <v>1213</v>
      </c>
      <c r="G289" s="56" t="s">
        <v>1371</v>
      </c>
      <c r="H289" s="56"/>
    </row>
    <row r="290" spans="1:8" ht="15" customHeight="1">
      <c r="A290" s="56">
        <v>289</v>
      </c>
      <c r="B290" s="56" t="s">
        <v>1954</v>
      </c>
      <c r="C290" s="56" t="s">
        <v>1955</v>
      </c>
      <c r="D290" s="56" t="s">
        <v>1314</v>
      </c>
      <c r="E290" s="56" t="s">
        <v>1348</v>
      </c>
      <c r="F290" s="56" t="s">
        <v>1213</v>
      </c>
      <c r="G290" s="56" t="s">
        <v>1376</v>
      </c>
      <c r="H290" s="56"/>
    </row>
    <row r="291" spans="1:8" ht="15" customHeight="1">
      <c r="A291" s="56">
        <v>290</v>
      </c>
      <c r="B291" s="56" t="s">
        <v>1956</v>
      </c>
      <c r="C291" s="56" t="s">
        <v>1957</v>
      </c>
      <c r="D291" s="56" t="s">
        <v>1314</v>
      </c>
      <c r="E291" s="56" t="s">
        <v>1348</v>
      </c>
      <c r="F291" s="56" t="s">
        <v>1213</v>
      </c>
      <c r="G291" s="56" t="s">
        <v>1465</v>
      </c>
      <c r="H291" s="56"/>
    </row>
    <row r="292" spans="1:8" ht="15" customHeight="1">
      <c r="A292" s="56">
        <v>291</v>
      </c>
      <c r="B292" s="56" t="s">
        <v>1958</v>
      </c>
      <c r="C292" s="56" t="s">
        <v>1959</v>
      </c>
      <c r="D292" s="56" t="s">
        <v>1314</v>
      </c>
      <c r="E292" s="56" t="s">
        <v>1348</v>
      </c>
      <c r="F292" s="56" t="s">
        <v>1213</v>
      </c>
      <c r="G292" s="56" t="s">
        <v>1465</v>
      </c>
      <c r="H292" s="56"/>
    </row>
    <row r="293" spans="1:8" ht="15" customHeight="1">
      <c r="A293" s="56">
        <v>292</v>
      </c>
      <c r="B293" s="56" t="s">
        <v>1960</v>
      </c>
      <c r="C293" s="56" t="s">
        <v>1464</v>
      </c>
      <c r="D293" s="56" t="s">
        <v>1314</v>
      </c>
      <c r="E293" s="56" t="s">
        <v>1348</v>
      </c>
      <c r="F293" s="56" t="s">
        <v>1213</v>
      </c>
      <c r="G293" s="56" t="s">
        <v>1465</v>
      </c>
      <c r="H293" s="56"/>
    </row>
    <row r="294" spans="1:8" ht="15" customHeight="1">
      <c r="A294" s="56">
        <v>293</v>
      </c>
      <c r="B294" s="56" t="s">
        <v>1961</v>
      </c>
      <c r="C294" s="56" t="s">
        <v>1962</v>
      </c>
      <c r="D294" s="56" t="s">
        <v>1314</v>
      </c>
      <c r="E294" s="56" t="s">
        <v>1352</v>
      </c>
      <c r="F294" s="56" t="s">
        <v>1221</v>
      </c>
      <c r="G294" s="56" t="s">
        <v>1386</v>
      </c>
      <c r="H294" s="56"/>
    </row>
    <row r="295" spans="1:8" ht="15" customHeight="1">
      <c r="A295" s="56">
        <v>294</v>
      </c>
      <c r="B295" s="56" t="s">
        <v>1963</v>
      </c>
      <c r="C295" s="56" t="s">
        <v>1964</v>
      </c>
      <c r="D295" s="56" t="s">
        <v>1314</v>
      </c>
      <c r="E295" s="56" t="s">
        <v>1348</v>
      </c>
      <c r="F295" s="56" t="s">
        <v>1213</v>
      </c>
      <c r="G295" s="56" t="s">
        <v>1406</v>
      </c>
      <c r="H295" s="56"/>
    </row>
    <row r="296" spans="1:8" ht="15" customHeight="1">
      <c r="A296" s="56">
        <v>295</v>
      </c>
      <c r="B296" s="56" t="s">
        <v>1965</v>
      </c>
      <c r="C296" s="56" t="s">
        <v>1966</v>
      </c>
      <c r="D296" s="56" t="s">
        <v>1314</v>
      </c>
      <c r="E296" s="56" t="s">
        <v>1348</v>
      </c>
      <c r="F296" s="56" t="s">
        <v>1213</v>
      </c>
      <c r="G296" s="56" t="s">
        <v>1439</v>
      </c>
      <c r="H296" s="56"/>
    </row>
    <row r="297" spans="1:8" ht="15" customHeight="1">
      <c r="A297" s="56">
        <v>296</v>
      </c>
      <c r="B297" s="56" t="s">
        <v>1967</v>
      </c>
      <c r="C297" s="56" t="s">
        <v>1968</v>
      </c>
      <c r="D297" s="56" t="s">
        <v>1314</v>
      </c>
      <c r="E297" s="56" t="s">
        <v>1348</v>
      </c>
      <c r="F297" s="56" t="s">
        <v>1213</v>
      </c>
      <c r="G297" s="56" t="s">
        <v>1439</v>
      </c>
      <c r="H297" s="56"/>
    </row>
    <row r="298" spans="1:8" ht="15" customHeight="1">
      <c r="A298" s="56">
        <v>297</v>
      </c>
      <c r="B298" s="56" t="s">
        <v>1969</v>
      </c>
      <c r="C298" s="56" t="s">
        <v>1970</v>
      </c>
      <c r="D298" s="56" t="s">
        <v>1314</v>
      </c>
      <c r="E298" s="56" t="s">
        <v>1348</v>
      </c>
      <c r="F298" s="56" t="s">
        <v>1213</v>
      </c>
      <c r="G298" s="56" t="s">
        <v>1392</v>
      </c>
      <c r="H298" s="56"/>
    </row>
    <row r="299" spans="1:8" ht="15" customHeight="1">
      <c r="A299" s="56">
        <v>298</v>
      </c>
      <c r="B299" s="56" t="s">
        <v>1971</v>
      </c>
      <c r="C299" s="56" t="s">
        <v>1972</v>
      </c>
      <c r="D299" s="56" t="s">
        <v>1314</v>
      </c>
      <c r="E299" s="56" t="s">
        <v>1348</v>
      </c>
      <c r="F299" s="56" t="s">
        <v>1213</v>
      </c>
      <c r="G299" s="56" t="s">
        <v>1392</v>
      </c>
      <c r="H299" s="56"/>
    </row>
    <row r="300" spans="1:8" ht="15" customHeight="1">
      <c r="A300" s="56">
        <v>299</v>
      </c>
      <c r="B300" s="56" t="s">
        <v>1973</v>
      </c>
      <c r="C300" s="56" t="s">
        <v>1974</v>
      </c>
      <c r="D300" s="56" t="s">
        <v>1314</v>
      </c>
      <c r="E300" s="56" t="s">
        <v>1348</v>
      </c>
      <c r="F300" s="56" t="s">
        <v>1213</v>
      </c>
      <c r="G300" s="56" t="s">
        <v>1397</v>
      </c>
      <c r="H300" s="56"/>
    </row>
    <row r="301" spans="1:8" ht="15" customHeight="1">
      <c r="A301" s="56">
        <v>300</v>
      </c>
      <c r="B301" s="56" t="s">
        <v>1975</v>
      </c>
      <c r="C301" s="56" t="s">
        <v>1976</v>
      </c>
      <c r="D301" s="56" t="s">
        <v>1314</v>
      </c>
      <c r="E301" s="56" t="s">
        <v>1348</v>
      </c>
      <c r="F301" s="56" t="s">
        <v>1213</v>
      </c>
      <c r="G301" s="56" t="s">
        <v>1397</v>
      </c>
      <c r="H301" s="56"/>
    </row>
    <row r="302" spans="1:8" ht="15" customHeight="1">
      <c r="A302" s="56">
        <v>301</v>
      </c>
      <c r="B302" s="56" t="s">
        <v>1977</v>
      </c>
      <c r="C302" s="56" t="s">
        <v>1978</v>
      </c>
      <c r="D302" s="56" t="s">
        <v>1314</v>
      </c>
      <c r="E302" s="56" t="s">
        <v>1352</v>
      </c>
      <c r="F302" s="56" t="s">
        <v>1221</v>
      </c>
      <c r="G302" s="56" t="s">
        <v>1406</v>
      </c>
      <c r="H302" s="56"/>
    </row>
    <row r="303" spans="1:8" ht="15" customHeight="1">
      <c r="A303" s="56">
        <v>302</v>
      </c>
      <c r="B303" s="56" t="s">
        <v>1979</v>
      </c>
      <c r="C303" s="56" t="s">
        <v>1980</v>
      </c>
      <c r="D303" s="56" t="s">
        <v>1314</v>
      </c>
      <c r="E303" s="56" t="s">
        <v>1348</v>
      </c>
      <c r="F303" s="56" t="s">
        <v>1213</v>
      </c>
      <c r="G303" s="56" t="s">
        <v>1549</v>
      </c>
      <c r="H303" s="56"/>
    </row>
    <row r="304" spans="1:8" ht="15" customHeight="1">
      <c r="A304" s="56">
        <v>303</v>
      </c>
      <c r="B304" s="56" t="s">
        <v>1981</v>
      </c>
      <c r="C304" s="56" t="s">
        <v>1982</v>
      </c>
      <c r="D304" s="56" t="s">
        <v>1314</v>
      </c>
      <c r="E304" s="56" t="s">
        <v>1348</v>
      </c>
      <c r="F304" s="56" t="s">
        <v>1213</v>
      </c>
      <c r="G304" s="56" t="s">
        <v>1549</v>
      </c>
      <c r="H304" s="56"/>
    </row>
    <row r="305" spans="1:8" ht="15" customHeight="1">
      <c r="A305" s="56">
        <v>304</v>
      </c>
      <c r="B305" s="56" t="s">
        <v>1983</v>
      </c>
      <c r="C305" s="56" t="s">
        <v>1984</v>
      </c>
      <c r="D305" s="56" t="s">
        <v>1285</v>
      </c>
      <c r="E305" s="56" t="s">
        <v>1352</v>
      </c>
      <c r="F305" s="56" t="s">
        <v>1221</v>
      </c>
      <c r="G305" s="56" t="s">
        <v>1349</v>
      </c>
      <c r="H305" s="56"/>
    </row>
    <row r="306" spans="1:8" ht="15" customHeight="1">
      <c r="A306" s="56">
        <v>305</v>
      </c>
      <c r="B306" s="56" t="s">
        <v>1985</v>
      </c>
      <c r="C306" s="56" t="s">
        <v>1986</v>
      </c>
      <c r="D306" s="56" t="s">
        <v>1285</v>
      </c>
      <c r="E306" s="56" t="s">
        <v>1356</v>
      </c>
      <c r="F306" s="56" t="s">
        <v>1208</v>
      </c>
      <c r="G306" s="56" t="s">
        <v>1349</v>
      </c>
      <c r="H306" s="56"/>
    </row>
    <row r="307" spans="1:8" ht="15" customHeight="1">
      <c r="A307" s="56">
        <v>306</v>
      </c>
      <c r="B307" s="56" t="s">
        <v>1987</v>
      </c>
      <c r="C307" s="56" t="s">
        <v>1988</v>
      </c>
      <c r="D307" s="56" t="s">
        <v>1285</v>
      </c>
      <c r="E307" s="56" t="s">
        <v>1348</v>
      </c>
      <c r="F307" s="56" t="s">
        <v>1213</v>
      </c>
      <c r="G307" s="56" t="s">
        <v>1349</v>
      </c>
      <c r="H307" s="56"/>
    </row>
    <row r="308" spans="1:8" ht="15" customHeight="1">
      <c r="A308" s="56">
        <v>307</v>
      </c>
      <c r="B308" s="56" t="s">
        <v>1989</v>
      </c>
      <c r="C308" s="56" t="s">
        <v>1990</v>
      </c>
      <c r="D308" s="56" t="s">
        <v>1285</v>
      </c>
      <c r="E308" s="56" t="s">
        <v>1356</v>
      </c>
      <c r="F308" s="56" t="s">
        <v>1208</v>
      </c>
      <c r="G308" s="56" t="s">
        <v>1360</v>
      </c>
      <c r="H308" s="56"/>
    </row>
    <row r="309" spans="1:8" ht="15" customHeight="1">
      <c r="A309" s="56">
        <v>308</v>
      </c>
      <c r="B309" s="56" t="s">
        <v>1991</v>
      </c>
      <c r="C309" s="56" t="s">
        <v>1992</v>
      </c>
      <c r="D309" s="56" t="s">
        <v>1285</v>
      </c>
      <c r="E309" s="56" t="s">
        <v>1348</v>
      </c>
      <c r="F309" s="56" t="s">
        <v>1213</v>
      </c>
      <c r="G309" s="56" t="s">
        <v>1363</v>
      </c>
      <c r="H309" s="56"/>
    </row>
    <row r="310" spans="1:8" ht="15" customHeight="1">
      <c r="A310" s="56">
        <v>309</v>
      </c>
      <c r="B310" s="56" t="s">
        <v>1993</v>
      </c>
      <c r="C310" s="56" t="s">
        <v>1285</v>
      </c>
      <c r="D310" s="56" t="s">
        <v>1285</v>
      </c>
      <c r="E310" s="56" t="s">
        <v>1356</v>
      </c>
      <c r="F310" s="56" t="s">
        <v>1208</v>
      </c>
      <c r="G310" s="56" t="s">
        <v>1406</v>
      </c>
      <c r="H310" s="56"/>
    </row>
    <row r="311" spans="1:8" ht="15" customHeight="1">
      <c r="A311" s="56">
        <v>310</v>
      </c>
      <c r="B311" s="56" t="s">
        <v>1994</v>
      </c>
      <c r="C311" s="56" t="s">
        <v>1995</v>
      </c>
      <c r="D311" s="56" t="s">
        <v>1285</v>
      </c>
      <c r="E311" s="56" t="s">
        <v>1356</v>
      </c>
      <c r="F311" s="56" t="s">
        <v>1208</v>
      </c>
      <c r="G311" s="56" t="s">
        <v>1392</v>
      </c>
      <c r="H311" s="56"/>
    </row>
    <row r="312" spans="1:8" ht="15" customHeight="1">
      <c r="A312" s="56">
        <v>311</v>
      </c>
      <c r="B312" s="56" t="s">
        <v>1996</v>
      </c>
      <c r="C312" s="56" t="s">
        <v>1997</v>
      </c>
      <c r="D312" s="56" t="s">
        <v>13</v>
      </c>
      <c r="E312" s="56" t="s">
        <v>1348</v>
      </c>
      <c r="F312" s="56" t="s">
        <v>1213</v>
      </c>
      <c r="G312" s="56" t="s">
        <v>1425</v>
      </c>
      <c r="H312" s="56"/>
    </row>
    <row r="313" spans="1:8" ht="15" customHeight="1">
      <c r="A313" s="56">
        <v>312</v>
      </c>
      <c r="B313" s="56" t="s">
        <v>1998</v>
      </c>
      <c r="C313" s="56" t="s">
        <v>13</v>
      </c>
      <c r="D313" s="56" t="s">
        <v>13</v>
      </c>
      <c r="E313" s="56" t="s">
        <v>1348</v>
      </c>
      <c r="F313" s="56" t="s">
        <v>1213</v>
      </c>
      <c r="G313" s="56" t="s">
        <v>1406</v>
      </c>
      <c r="H313" s="56"/>
    </row>
    <row r="314" spans="1:8" ht="15" customHeight="1">
      <c r="A314" s="56">
        <v>313</v>
      </c>
      <c r="B314" s="56" t="s">
        <v>1999</v>
      </c>
      <c r="C314" s="56" t="s">
        <v>2000</v>
      </c>
      <c r="D314" s="56" t="s">
        <v>13</v>
      </c>
      <c r="E314" s="56" t="s">
        <v>1348</v>
      </c>
      <c r="F314" s="56" t="s">
        <v>1213</v>
      </c>
      <c r="G314" s="56" t="s">
        <v>1549</v>
      </c>
      <c r="H314" s="56"/>
    </row>
    <row r="315" spans="1:8" ht="15" customHeight="1">
      <c r="A315" s="56">
        <v>314</v>
      </c>
      <c r="B315" s="56" t="s">
        <v>2001</v>
      </c>
      <c r="C315" s="56" t="s">
        <v>2002</v>
      </c>
      <c r="D315" s="56" t="s">
        <v>13</v>
      </c>
      <c r="E315" s="56" t="s">
        <v>1348</v>
      </c>
      <c r="F315" s="56" t="s">
        <v>1213</v>
      </c>
      <c r="G315" s="56" t="s">
        <v>1549</v>
      </c>
      <c r="H315" s="56"/>
    </row>
    <row r="316" spans="1:8" ht="15" customHeight="1">
      <c r="A316" s="56">
        <v>315</v>
      </c>
      <c r="B316" s="56" t="s">
        <v>2003</v>
      </c>
      <c r="C316" s="56" t="s">
        <v>2004</v>
      </c>
      <c r="D316" s="56" t="s">
        <v>13</v>
      </c>
      <c r="E316" s="56" t="s">
        <v>1348</v>
      </c>
      <c r="F316" s="56" t="s">
        <v>1213</v>
      </c>
      <c r="G316" s="56" t="s">
        <v>1549</v>
      </c>
      <c r="H316" s="56"/>
    </row>
    <row r="317" spans="1:8" ht="15" customHeight="1">
      <c r="A317" s="56">
        <v>316</v>
      </c>
      <c r="B317" s="56" t="s">
        <v>2005</v>
      </c>
      <c r="C317" s="56" t="s">
        <v>2006</v>
      </c>
      <c r="D317" s="56" t="s">
        <v>1305</v>
      </c>
      <c r="E317" s="56" t="s">
        <v>1356</v>
      </c>
      <c r="F317" s="56" t="s">
        <v>1208</v>
      </c>
      <c r="G317" s="56" t="s">
        <v>1409</v>
      </c>
      <c r="H317" s="56"/>
    </row>
    <row r="318" spans="1:8" ht="15" customHeight="1">
      <c r="A318" s="56">
        <v>317</v>
      </c>
      <c r="B318" s="56" t="s">
        <v>2007</v>
      </c>
      <c r="C318" s="56" t="s">
        <v>2008</v>
      </c>
      <c r="D318" s="56" t="s">
        <v>1305</v>
      </c>
      <c r="E318" s="56" t="s">
        <v>1348</v>
      </c>
      <c r="F318" s="56" t="s">
        <v>1213</v>
      </c>
      <c r="G318" s="56" t="s">
        <v>1409</v>
      </c>
      <c r="H318" s="56"/>
    </row>
    <row r="319" spans="1:8" ht="15" customHeight="1">
      <c r="A319" s="56">
        <v>318</v>
      </c>
      <c r="B319" s="56" t="s">
        <v>2009</v>
      </c>
      <c r="C319" s="56" t="s">
        <v>2010</v>
      </c>
      <c r="D319" s="56" t="s">
        <v>1305</v>
      </c>
      <c r="E319" s="56" t="s">
        <v>1348</v>
      </c>
      <c r="F319" s="56" t="s">
        <v>1213</v>
      </c>
      <c r="G319" s="56" t="s">
        <v>1409</v>
      </c>
      <c r="H319" s="56"/>
    </row>
    <row r="320" spans="1:8" ht="15" customHeight="1">
      <c r="A320" s="56">
        <v>319</v>
      </c>
      <c r="B320" s="56" t="s">
        <v>2011</v>
      </c>
      <c r="C320" s="56" t="s">
        <v>2012</v>
      </c>
      <c r="D320" s="56" t="s">
        <v>1305</v>
      </c>
      <c r="E320" s="56" t="s">
        <v>1356</v>
      </c>
      <c r="F320" s="56" t="s">
        <v>1208</v>
      </c>
      <c r="G320" s="56" t="s">
        <v>1357</v>
      </c>
      <c r="H320" s="56"/>
    </row>
    <row r="321" spans="1:8" ht="15" customHeight="1">
      <c r="A321" s="56">
        <v>320</v>
      </c>
      <c r="B321" s="56" t="s">
        <v>2013</v>
      </c>
      <c r="C321" s="56" t="s">
        <v>2014</v>
      </c>
      <c r="D321" s="56" t="s">
        <v>1305</v>
      </c>
      <c r="E321" s="56" t="s">
        <v>1348</v>
      </c>
      <c r="F321" s="56" t="s">
        <v>1213</v>
      </c>
      <c r="G321" s="56" t="s">
        <v>1500</v>
      </c>
      <c r="H321" s="56"/>
    </row>
    <row r="322" spans="1:8" ht="15" customHeight="1">
      <c r="A322" s="56">
        <v>321</v>
      </c>
      <c r="B322" s="56" t="s">
        <v>2015</v>
      </c>
      <c r="C322" s="56" t="s">
        <v>2016</v>
      </c>
      <c r="D322" s="56" t="s">
        <v>1305</v>
      </c>
      <c r="E322" s="56" t="s">
        <v>1356</v>
      </c>
      <c r="F322" s="56" t="s">
        <v>1208</v>
      </c>
      <c r="G322" s="56" t="s">
        <v>1419</v>
      </c>
      <c r="H322" s="56"/>
    </row>
    <row r="323" spans="1:8" ht="15" customHeight="1">
      <c r="A323" s="56">
        <v>322</v>
      </c>
      <c r="B323" s="56" t="s">
        <v>2017</v>
      </c>
      <c r="C323" s="56" t="s">
        <v>2018</v>
      </c>
      <c r="D323" s="56" t="s">
        <v>1305</v>
      </c>
      <c r="E323" s="56" t="s">
        <v>1348</v>
      </c>
      <c r="F323" s="56" t="s">
        <v>1213</v>
      </c>
      <c r="G323" s="56" t="s">
        <v>1439</v>
      </c>
      <c r="H323" s="56"/>
    </row>
    <row r="324" spans="1:8" ht="15" customHeight="1">
      <c r="A324" s="56">
        <v>323</v>
      </c>
      <c r="B324" s="56" t="s">
        <v>2019</v>
      </c>
      <c r="C324" s="56" t="s">
        <v>2020</v>
      </c>
      <c r="D324" s="56" t="s">
        <v>1305</v>
      </c>
      <c r="E324" s="56" t="s">
        <v>1352</v>
      </c>
      <c r="F324" s="56" t="s">
        <v>1221</v>
      </c>
      <c r="G324" s="56" t="s">
        <v>1363</v>
      </c>
      <c r="H324" s="56"/>
    </row>
    <row r="325" spans="1:8" ht="15" customHeight="1">
      <c r="A325" s="56">
        <v>324</v>
      </c>
      <c r="B325" s="56" t="s">
        <v>2021</v>
      </c>
      <c r="C325" s="56" t="s">
        <v>2022</v>
      </c>
      <c r="D325" s="56" t="s">
        <v>1305</v>
      </c>
      <c r="E325" s="56" t="s">
        <v>1348</v>
      </c>
      <c r="F325" s="56" t="s">
        <v>1213</v>
      </c>
      <c r="G325" s="56" t="s">
        <v>1549</v>
      </c>
      <c r="H325" s="56"/>
    </row>
    <row r="326" spans="1:8" ht="15" customHeight="1">
      <c r="A326" s="56">
        <v>325</v>
      </c>
      <c r="B326" s="56" t="s">
        <v>2023</v>
      </c>
      <c r="C326" s="56" t="s">
        <v>2024</v>
      </c>
      <c r="D326" s="56" t="s">
        <v>1328</v>
      </c>
      <c r="E326" s="56" t="s">
        <v>1348</v>
      </c>
      <c r="F326" s="56" t="s">
        <v>1213</v>
      </c>
      <c r="G326" s="56" t="s">
        <v>1349</v>
      </c>
      <c r="H326" s="56"/>
    </row>
    <row r="327" spans="1:8" ht="15" customHeight="1">
      <c r="A327" s="56">
        <v>326</v>
      </c>
      <c r="B327" s="56" t="s">
        <v>2025</v>
      </c>
      <c r="C327" s="56" t="s">
        <v>2026</v>
      </c>
      <c r="D327" s="56" t="s">
        <v>1328</v>
      </c>
      <c r="E327" s="56" t="s">
        <v>1348</v>
      </c>
      <c r="F327" s="56" t="s">
        <v>1213</v>
      </c>
      <c r="G327" s="56" t="s">
        <v>1349</v>
      </c>
      <c r="H327" s="56"/>
    </row>
    <row r="328" spans="1:8" ht="15" customHeight="1">
      <c r="A328" s="56">
        <v>327</v>
      </c>
      <c r="B328" s="56" t="s">
        <v>2027</v>
      </c>
      <c r="C328" s="56" t="s">
        <v>2028</v>
      </c>
      <c r="D328" s="56" t="s">
        <v>1328</v>
      </c>
      <c r="E328" s="56" t="s">
        <v>1348</v>
      </c>
      <c r="F328" s="56" t="s">
        <v>1213</v>
      </c>
      <c r="G328" s="56" t="s">
        <v>1357</v>
      </c>
      <c r="H328" s="56"/>
    </row>
    <row r="329" spans="1:8" ht="15" customHeight="1">
      <c r="A329" s="56">
        <v>328</v>
      </c>
      <c r="B329" s="56" t="s">
        <v>2029</v>
      </c>
      <c r="C329" s="56" t="s">
        <v>2030</v>
      </c>
      <c r="D329" s="56" t="s">
        <v>1328</v>
      </c>
      <c r="E329" s="56" t="s">
        <v>1348</v>
      </c>
      <c r="F329" s="56" t="s">
        <v>1213</v>
      </c>
      <c r="G329" s="56" t="s">
        <v>1357</v>
      </c>
      <c r="H329" s="56"/>
    </row>
    <row r="330" spans="1:8" ht="15" customHeight="1">
      <c r="A330" s="56">
        <v>329</v>
      </c>
      <c r="B330" s="56" t="s">
        <v>2031</v>
      </c>
      <c r="C330" s="56" t="s">
        <v>2032</v>
      </c>
      <c r="D330" s="56" t="s">
        <v>1328</v>
      </c>
      <c r="E330" s="56" t="s">
        <v>1348</v>
      </c>
      <c r="F330" s="56" t="s">
        <v>1213</v>
      </c>
      <c r="G330" s="56" t="s">
        <v>1694</v>
      </c>
      <c r="H330" s="56"/>
    </row>
    <row r="331" spans="1:8" ht="15" customHeight="1">
      <c r="A331" s="56">
        <v>330</v>
      </c>
      <c r="B331" s="56" t="s">
        <v>2033</v>
      </c>
      <c r="C331" s="56" t="s">
        <v>2034</v>
      </c>
      <c r="D331" s="56" t="s">
        <v>1328</v>
      </c>
      <c r="E331" s="56" t="s">
        <v>1348</v>
      </c>
      <c r="F331" s="56" t="s">
        <v>1213</v>
      </c>
      <c r="G331" s="56" t="s">
        <v>1360</v>
      </c>
      <c r="H331" s="56"/>
    </row>
    <row r="332" spans="1:8" ht="15" customHeight="1">
      <c r="A332" s="56">
        <v>331</v>
      </c>
      <c r="B332" s="56" t="s">
        <v>2035</v>
      </c>
      <c r="C332" s="56" t="s">
        <v>2036</v>
      </c>
      <c r="D332" s="56" t="s">
        <v>1328</v>
      </c>
      <c r="E332" s="56" t="s">
        <v>1348</v>
      </c>
      <c r="F332" s="56" t="s">
        <v>1213</v>
      </c>
      <c r="G332" s="56" t="s">
        <v>1363</v>
      </c>
      <c r="H332" s="56"/>
    </row>
    <row r="333" spans="1:8" ht="15" customHeight="1">
      <c r="A333" s="56">
        <v>332</v>
      </c>
      <c r="B333" s="56" t="s">
        <v>2037</v>
      </c>
      <c r="C333" s="56" t="s">
        <v>2038</v>
      </c>
      <c r="D333" s="56" t="s">
        <v>1328</v>
      </c>
      <c r="E333" s="56" t="s">
        <v>1348</v>
      </c>
      <c r="F333" s="56" t="s">
        <v>1213</v>
      </c>
      <c r="G333" s="56" t="s">
        <v>1500</v>
      </c>
      <c r="H333" s="56"/>
    </row>
    <row r="334" spans="1:8" ht="15" customHeight="1">
      <c r="A334" s="56">
        <v>333</v>
      </c>
      <c r="B334" s="56" t="s">
        <v>2039</v>
      </c>
      <c r="C334" s="56" t="s">
        <v>2040</v>
      </c>
      <c r="D334" s="56" t="s">
        <v>1328</v>
      </c>
      <c r="E334" s="56" t="s">
        <v>1348</v>
      </c>
      <c r="F334" s="56" t="s">
        <v>1213</v>
      </c>
      <c r="G334" s="56" t="s">
        <v>1621</v>
      </c>
      <c r="H334" s="56"/>
    </row>
    <row r="335" spans="1:8" ht="15" customHeight="1">
      <c r="A335" s="56">
        <v>334</v>
      </c>
      <c r="B335" s="56" t="s">
        <v>2041</v>
      </c>
      <c r="C335" s="56" t="s">
        <v>2042</v>
      </c>
      <c r="D335" s="56" t="s">
        <v>1328</v>
      </c>
      <c r="E335" s="56" t="s">
        <v>1348</v>
      </c>
      <c r="F335" s="56" t="s">
        <v>1213</v>
      </c>
      <c r="G335" s="56" t="s">
        <v>1371</v>
      </c>
      <c r="H335" s="56"/>
    </row>
    <row r="336" spans="1:8" ht="15" customHeight="1">
      <c r="A336" s="56">
        <v>335</v>
      </c>
      <c r="B336" s="56" t="s">
        <v>2043</v>
      </c>
      <c r="C336" s="56" t="s">
        <v>2044</v>
      </c>
      <c r="D336" s="56" t="s">
        <v>1328</v>
      </c>
      <c r="E336" s="56" t="s">
        <v>1356</v>
      </c>
      <c r="F336" s="56" t="s">
        <v>1208</v>
      </c>
      <c r="G336" s="56" t="s">
        <v>1465</v>
      </c>
      <c r="H336" s="56"/>
    </row>
    <row r="337" spans="1:8" ht="15" customHeight="1">
      <c r="A337" s="56">
        <v>336</v>
      </c>
      <c r="B337" s="56" t="s">
        <v>2045</v>
      </c>
      <c r="C337" s="56" t="s">
        <v>2046</v>
      </c>
      <c r="D337" s="56" t="s">
        <v>1328</v>
      </c>
      <c r="E337" s="56" t="s">
        <v>1348</v>
      </c>
      <c r="F337" s="56" t="s">
        <v>1213</v>
      </c>
      <c r="G337" s="56" t="s">
        <v>1465</v>
      </c>
      <c r="H337" s="56"/>
    </row>
    <row r="338" spans="1:8" ht="15" customHeight="1">
      <c r="A338" s="56">
        <v>337</v>
      </c>
      <c r="B338" s="56" t="s">
        <v>2047</v>
      </c>
      <c r="C338" s="56" t="s">
        <v>2048</v>
      </c>
      <c r="D338" s="56" t="s">
        <v>1328</v>
      </c>
      <c r="E338" s="56" t="s">
        <v>1348</v>
      </c>
      <c r="F338" s="56" t="s">
        <v>1213</v>
      </c>
      <c r="G338" s="56" t="s">
        <v>1386</v>
      </c>
      <c r="H338" s="56"/>
    </row>
    <row r="339" spans="1:8" ht="15" customHeight="1">
      <c r="A339" s="56">
        <v>338</v>
      </c>
      <c r="B339" s="56" t="s">
        <v>2049</v>
      </c>
      <c r="C339" s="56" t="s">
        <v>2050</v>
      </c>
      <c r="D339" s="56" t="s">
        <v>1328</v>
      </c>
      <c r="E339" s="56" t="s">
        <v>1348</v>
      </c>
      <c r="F339" s="56" t="s">
        <v>1213</v>
      </c>
      <c r="G339" s="56" t="s">
        <v>1389</v>
      </c>
      <c r="H339" s="56"/>
    </row>
    <row r="340" spans="1:8" ht="15" customHeight="1">
      <c r="A340" s="56">
        <v>339</v>
      </c>
      <c r="B340" s="56" t="s">
        <v>2051</v>
      </c>
      <c r="C340" s="56" t="s">
        <v>2052</v>
      </c>
      <c r="D340" s="56" t="s">
        <v>1328</v>
      </c>
      <c r="E340" s="56" t="s">
        <v>1348</v>
      </c>
      <c r="F340" s="56" t="s">
        <v>1213</v>
      </c>
      <c r="G340" s="56" t="s">
        <v>1392</v>
      </c>
      <c r="H340" s="56"/>
    </row>
    <row r="341" spans="1:8" ht="15" customHeight="1">
      <c r="A341" s="56">
        <v>340</v>
      </c>
      <c r="B341" s="56" t="s">
        <v>2053</v>
      </c>
      <c r="C341" s="56" t="s">
        <v>2054</v>
      </c>
      <c r="D341" s="56" t="s">
        <v>1328</v>
      </c>
      <c r="E341" s="56" t="s">
        <v>1348</v>
      </c>
      <c r="F341" s="56" t="s">
        <v>1213</v>
      </c>
      <c r="G341" s="56" t="s">
        <v>1397</v>
      </c>
      <c r="H341" s="56"/>
    </row>
    <row r="342" spans="1:8" ht="15" customHeight="1">
      <c r="A342" s="56">
        <v>341</v>
      </c>
      <c r="B342" s="56" t="s">
        <v>2055</v>
      </c>
      <c r="C342" s="56" t="s">
        <v>2056</v>
      </c>
      <c r="D342" s="56" t="s">
        <v>1328</v>
      </c>
      <c r="E342" s="56" t="s">
        <v>1348</v>
      </c>
      <c r="F342" s="56" t="s">
        <v>1213</v>
      </c>
      <c r="G342" s="56" t="s">
        <v>1397</v>
      </c>
      <c r="H342" s="56"/>
    </row>
    <row r="343" spans="1:8" ht="15" customHeight="1">
      <c r="A343" s="56">
        <v>342</v>
      </c>
      <c r="B343" s="56" t="s">
        <v>2057</v>
      </c>
      <c r="C343" s="56" t="s">
        <v>2058</v>
      </c>
      <c r="D343" s="56" t="s">
        <v>1328</v>
      </c>
      <c r="E343" s="56" t="s">
        <v>1348</v>
      </c>
      <c r="F343" s="56" t="s">
        <v>1213</v>
      </c>
      <c r="G343" s="56" t="s">
        <v>1397</v>
      </c>
      <c r="H343" s="56"/>
    </row>
    <row r="344" spans="1:8" ht="15" customHeight="1">
      <c r="A344" s="56">
        <v>343</v>
      </c>
      <c r="B344" s="56" t="s">
        <v>2059</v>
      </c>
      <c r="C344" s="56" t="s">
        <v>2060</v>
      </c>
      <c r="D344" s="56" t="s">
        <v>1328</v>
      </c>
      <c r="E344" s="56" t="s">
        <v>1348</v>
      </c>
      <c r="F344" s="56" t="s">
        <v>1213</v>
      </c>
      <c r="G344" s="56" t="s">
        <v>1363</v>
      </c>
      <c r="H344" s="56"/>
    </row>
    <row r="345" spans="1:8" ht="15" customHeight="1">
      <c r="A345" s="56">
        <v>344</v>
      </c>
      <c r="B345" s="56" t="s">
        <v>2061</v>
      </c>
      <c r="C345" s="56" t="s">
        <v>2062</v>
      </c>
      <c r="D345" s="56" t="s">
        <v>1328</v>
      </c>
      <c r="E345" s="56" t="s">
        <v>1356</v>
      </c>
      <c r="F345" s="56" t="s">
        <v>1208</v>
      </c>
      <c r="G345" s="56" t="s">
        <v>1363</v>
      </c>
      <c r="H345" s="56"/>
    </row>
    <row r="346" spans="1:8" ht="15" customHeight="1">
      <c r="A346" s="56">
        <v>345</v>
      </c>
      <c r="B346" s="56" t="s">
        <v>2063</v>
      </c>
      <c r="C346" s="56" t="s">
        <v>2064</v>
      </c>
      <c r="D346" s="56" t="s">
        <v>1328</v>
      </c>
      <c r="E346" s="56" t="s">
        <v>1348</v>
      </c>
      <c r="F346" s="56" t="s">
        <v>1213</v>
      </c>
      <c r="G346" s="56" t="s">
        <v>1500</v>
      </c>
      <c r="H346" s="56"/>
    </row>
    <row r="347" spans="1:8" ht="15" customHeight="1">
      <c r="A347" s="56">
        <v>346</v>
      </c>
      <c r="B347" s="56" t="s">
        <v>2065</v>
      </c>
      <c r="C347" s="56" t="s">
        <v>2066</v>
      </c>
      <c r="D347" s="56" t="s">
        <v>1328</v>
      </c>
      <c r="E347" s="56" t="s">
        <v>1348</v>
      </c>
      <c r="F347" s="56" t="s">
        <v>1213</v>
      </c>
      <c r="G347" s="56" t="s">
        <v>1549</v>
      </c>
      <c r="H347" s="56"/>
    </row>
    <row r="348" spans="1:8" ht="15" customHeight="1">
      <c r="A348" s="56">
        <v>347</v>
      </c>
      <c r="B348" s="56" t="s">
        <v>2067</v>
      </c>
      <c r="C348" s="56" t="s">
        <v>1840</v>
      </c>
      <c r="D348" s="56" t="s">
        <v>1283</v>
      </c>
      <c r="E348" s="56" t="s">
        <v>1352</v>
      </c>
      <c r="F348" s="56" t="s">
        <v>1221</v>
      </c>
      <c r="G348" s="56" t="s">
        <v>1349</v>
      </c>
      <c r="H348" s="56"/>
    </row>
    <row r="349" spans="1:8" ht="15" customHeight="1">
      <c r="A349" s="56">
        <v>348</v>
      </c>
      <c r="B349" s="56" t="s">
        <v>2068</v>
      </c>
      <c r="C349" s="56" t="s">
        <v>2069</v>
      </c>
      <c r="D349" s="56" t="s">
        <v>1283</v>
      </c>
      <c r="E349" s="56" t="s">
        <v>1348</v>
      </c>
      <c r="F349" s="56" t="s">
        <v>1213</v>
      </c>
      <c r="G349" s="56" t="s">
        <v>1349</v>
      </c>
      <c r="H349" s="56"/>
    </row>
    <row r="350" spans="1:8" ht="15" customHeight="1">
      <c r="A350" s="56">
        <v>349</v>
      </c>
      <c r="B350" s="56" t="s">
        <v>2070</v>
      </c>
      <c r="C350" s="56" t="s">
        <v>2071</v>
      </c>
      <c r="D350" s="56" t="s">
        <v>1283</v>
      </c>
      <c r="E350" s="56" t="s">
        <v>1352</v>
      </c>
      <c r="F350" s="56" t="s">
        <v>1221</v>
      </c>
      <c r="G350" s="56" t="s">
        <v>1409</v>
      </c>
      <c r="H350" s="56"/>
    </row>
    <row r="351" spans="1:8" ht="15" customHeight="1">
      <c r="A351" s="56">
        <v>350</v>
      </c>
      <c r="B351" s="56" t="s">
        <v>2072</v>
      </c>
      <c r="C351" s="56" t="s">
        <v>2073</v>
      </c>
      <c r="D351" s="56" t="s">
        <v>1283</v>
      </c>
      <c r="E351" s="56" t="s">
        <v>1348</v>
      </c>
      <c r="F351" s="56" t="s">
        <v>1213</v>
      </c>
      <c r="G351" s="56" t="s">
        <v>1363</v>
      </c>
      <c r="H351" s="56"/>
    </row>
    <row r="352" spans="1:8" ht="15" customHeight="1">
      <c r="A352" s="56">
        <v>351</v>
      </c>
      <c r="B352" s="56" t="s">
        <v>2074</v>
      </c>
      <c r="C352" s="56" t="s">
        <v>2075</v>
      </c>
      <c r="D352" s="56" t="s">
        <v>1283</v>
      </c>
      <c r="E352" s="56" t="s">
        <v>1352</v>
      </c>
      <c r="F352" s="56" t="s">
        <v>1221</v>
      </c>
      <c r="G352" s="56" t="s">
        <v>1460</v>
      </c>
      <c r="H352" s="56"/>
    </row>
    <row r="353" spans="1:8" ht="15" customHeight="1">
      <c r="A353" s="56">
        <v>352</v>
      </c>
      <c r="B353" s="56" t="s">
        <v>2076</v>
      </c>
      <c r="C353" s="56" t="s">
        <v>2077</v>
      </c>
      <c r="D353" s="56" t="s">
        <v>1283</v>
      </c>
      <c r="E353" s="56" t="s">
        <v>1352</v>
      </c>
      <c r="F353" s="56" t="s">
        <v>1221</v>
      </c>
      <c r="G353" s="56" t="s">
        <v>1419</v>
      </c>
      <c r="H353" s="56"/>
    </row>
    <row r="354" spans="1:8" ht="15" customHeight="1">
      <c r="A354" s="56">
        <v>353</v>
      </c>
      <c r="B354" s="56" t="s">
        <v>2078</v>
      </c>
      <c r="C354" s="56" t="s">
        <v>2079</v>
      </c>
      <c r="D354" s="56" t="s">
        <v>1283</v>
      </c>
      <c r="E354" s="56" t="s">
        <v>1352</v>
      </c>
      <c r="F354" s="56" t="s">
        <v>1221</v>
      </c>
      <c r="G354" s="56" t="s">
        <v>1419</v>
      </c>
      <c r="H354" s="56" t="s">
        <v>1403</v>
      </c>
    </row>
    <row r="355" spans="1:8" ht="15" customHeight="1">
      <c r="A355" s="56">
        <v>354</v>
      </c>
      <c r="B355" s="56" t="s">
        <v>2080</v>
      </c>
      <c r="C355" s="56" t="s">
        <v>2081</v>
      </c>
      <c r="D355" s="56" t="s">
        <v>1283</v>
      </c>
      <c r="E355" s="56" t="s">
        <v>1348</v>
      </c>
      <c r="F355" s="56" t="s">
        <v>1213</v>
      </c>
      <c r="G355" s="56" t="s">
        <v>1371</v>
      </c>
      <c r="H355" s="56"/>
    </row>
    <row r="356" spans="1:8" ht="15" customHeight="1">
      <c r="A356" s="56">
        <v>355</v>
      </c>
      <c r="B356" s="56" t="s">
        <v>2082</v>
      </c>
      <c r="C356" s="56" t="s">
        <v>2083</v>
      </c>
      <c r="D356" s="56" t="s">
        <v>1283</v>
      </c>
      <c r="E356" s="56" t="s">
        <v>1348</v>
      </c>
      <c r="F356" s="56" t="s">
        <v>1213</v>
      </c>
      <c r="G356" s="56" t="s">
        <v>1432</v>
      </c>
      <c r="H356" s="56"/>
    </row>
    <row r="357" spans="1:8" ht="15" customHeight="1">
      <c r="A357" s="56">
        <v>356</v>
      </c>
      <c r="B357" s="56" t="s">
        <v>2084</v>
      </c>
      <c r="C357" s="56" t="s">
        <v>2085</v>
      </c>
      <c r="D357" s="56" t="s">
        <v>1283</v>
      </c>
      <c r="E357" s="56" t="s">
        <v>1352</v>
      </c>
      <c r="F357" s="56" t="s">
        <v>1221</v>
      </c>
      <c r="G357" s="56" t="s">
        <v>1465</v>
      </c>
      <c r="H357" s="56"/>
    </row>
    <row r="358" spans="1:8" ht="15" customHeight="1">
      <c r="A358" s="56">
        <v>357</v>
      </c>
      <c r="B358" s="56" t="s">
        <v>2086</v>
      </c>
      <c r="C358" s="56" t="s">
        <v>2087</v>
      </c>
      <c r="D358" s="56" t="s">
        <v>1283</v>
      </c>
      <c r="E358" s="56" t="s">
        <v>1352</v>
      </c>
      <c r="F358" s="56" t="s">
        <v>1221</v>
      </c>
      <c r="G358" s="56" t="s">
        <v>1439</v>
      </c>
      <c r="H358" s="56"/>
    </row>
    <row r="359" spans="1:8" ht="15" customHeight="1">
      <c r="A359" s="56">
        <v>358</v>
      </c>
      <c r="B359" s="56" t="s">
        <v>2088</v>
      </c>
      <c r="C359" s="56" t="s">
        <v>2089</v>
      </c>
      <c r="D359" s="56" t="s">
        <v>1283</v>
      </c>
      <c r="E359" s="56" t="s">
        <v>1348</v>
      </c>
      <c r="F359" s="56" t="s">
        <v>1213</v>
      </c>
      <c r="G359" s="56" t="s">
        <v>1397</v>
      </c>
      <c r="H359" s="56"/>
    </row>
    <row r="360" spans="1:8" ht="15" customHeight="1">
      <c r="A360" s="56">
        <v>359</v>
      </c>
      <c r="B360" s="56" t="s">
        <v>2090</v>
      </c>
      <c r="C360" s="56" t="s">
        <v>2091</v>
      </c>
      <c r="D360" s="56" t="s">
        <v>1283</v>
      </c>
      <c r="E360" s="56" t="s">
        <v>1352</v>
      </c>
      <c r="F360" s="56" t="s">
        <v>1221</v>
      </c>
      <c r="G360" s="56" t="s">
        <v>1605</v>
      </c>
      <c r="H360" s="56"/>
    </row>
    <row r="361" spans="1:8" ht="15" customHeight="1">
      <c r="A361" s="56">
        <v>360</v>
      </c>
      <c r="B361" s="56" t="s">
        <v>2092</v>
      </c>
      <c r="C361" s="56" t="s">
        <v>2093</v>
      </c>
      <c r="D361" s="56" t="s">
        <v>1316</v>
      </c>
      <c r="E361" s="56" t="s">
        <v>1348</v>
      </c>
      <c r="F361" s="56" t="s">
        <v>1213</v>
      </c>
      <c r="G361" s="56" t="s">
        <v>1357</v>
      </c>
      <c r="H361" s="56"/>
    </row>
    <row r="362" spans="1:8" ht="15" customHeight="1">
      <c r="A362" s="56">
        <v>361</v>
      </c>
      <c r="B362" s="56" t="s">
        <v>2094</v>
      </c>
      <c r="C362" s="56" t="s">
        <v>2095</v>
      </c>
      <c r="D362" s="56" t="s">
        <v>1316</v>
      </c>
      <c r="E362" s="56" t="s">
        <v>1348</v>
      </c>
      <c r="F362" s="56" t="s">
        <v>1213</v>
      </c>
      <c r="G362" s="56" t="s">
        <v>1360</v>
      </c>
      <c r="H362" s="56"/>
    </row>
    <row r="363" spans="1:8" ht="15" customHeight="1">
      <c r="A363" s="56">
        <v>362</v>
      </c>
      <c r="B363" s="56" t="s">
        <v>2096</v>
      </c>
      <c r="C363" s="56" t="s">
        <v>2097</v>
      </c>
      <c r="D363" s="56" t="s">
        <v>1316</v>
      </c>
      <c r="E363" s="56" t="s">
        <v>1348</v>
      </c>
      <c r="F363" s="56" t="s">
        <v>1213</v>
      </c>
      <c r="G363" s="56" t="s">
        <v>1360</v>
      </c>
      <c r="H363" s="56"/>
    </row>
    <row r="364" spans="1:8" ht="15" customHeight="1">
      <c r="A364" s="56">
        <v>363</v>
      </c>
      <c r="B364" s="56" t="s">
        <v>2098</v>
      </c>
      <c r="C364" s="56" t="s">
        <v>2099</v>
      </c>
      <c r="D364" s="56" t="s">
        <v>1316</v>
      </c>
      <c r="E364" s="56" t="s">
        <v>1348</v>
      </c>
      <c r="F364" s="56" t="s">
        <v>1213</v>
      </c>
      <c r="G364" s="56" t="s">
        <v>1360</v>
      </c>
      <c r="H364" s="56"/>
    </row>
    <row r="365" spans="1:8" ht="15" customHeight="1">
      <c r="A365" s="56">
        <v>364</v>
      </c>
      <c r="B365" s="56" t="s">
        <v>2100</v>
      </c>
      <c r="C365" s="56" t="s">
        <v>2101</v>
      </c>
      <c r="D365" s="56" t="s">
        <v>1316</v>
      </c>
      <c r="E365" s="56" t="s">
        <v>1348</v>
      </c>
      <c r="F365" s="56" t="s">
        <v>1213</v>
      </c>
      <c r="G365" s="56" t="s">
        <v>1363</v>
      </c>
      <c r="H365" s="56"/>
    </row>
    <row r="366" spans="1:8" ht="15" customHeight="1">
      <c r="A366" s="56">
        <v>365</v>
      </c>
      <c r="B366" s="56" t="s">
        <v>2102</v>
      </c>
      <c r="C366" s="56" t="s">
        <v>2103</v>
      </c>
      <c r="D366" s="56" t="s">
        <v>1316</v>
      </c>
      <c r="E366" s="56" t="s">
        <v>1348</v>
      </c>
      <c r="F366" s="56" t="s">
        <v>1213</v>
      </c>
      <c r="G366" s="56" t="s">
        <v>1500</v>
      </c>
      <c r="H366" s="56"/>
    </row>
    <row r="367" spans="1:8" ht="15" customHeight="1">
      <c r="A367" s="56">
        <v>366</v>
      </c>
      <c r="B367" s="56" t="s">
        <v>2104</v>
      </c>
      <c r="C367" s="56" t="s">
        <v>2105</v>
      </c>
      <c r="D367" s="56" t="s">
        <v>1316</v>
      </c>
      <c r="E367" s="56" t="s">
        <v>1348</v>
      </c>
      <c r="F367" s="56" t="s">
        <v>1213</v>
      </c>
      <c r="G367" s="56" t="s">
        <v>1621</v>
      </c>
      <c r="H367" s="56"/>
    </row>
    <row r="368" spans="1:8" ht="15" customHeight="1">
      <c r="A368" s="56">
        <v>367</v>
      </c>
      <c r="B368" s="56" t="s">
        <v>2106</v>
      </c>
      <c r="C368" s="56" t="s">
        <v>2107</v>
      </c>
      <c r="D368" s="56" t="s">
        <v>1316</v>
      </c>
      <c r="E368" s="56" t="s">
        <v>1348</v>
      </c>
      <c r="F368" s="56" t="s">
        <v>1213</v>
      </c>
      <c r="G368" s="56" t="s">
        <v>1406</v>
      </c>
      <c r="H368" s="56"/>
    </row>
    <row r="369" spans="1:8" ht="15" customHeight="1">
      <c r="A369" s="56">
        <v>368</v>
      </c>
      <c r="B369" s="56" t="s">
        <v>2108</v>
      </c>
      <c r="C369" s="56" t="s">
        <v>2109</v>
      </c>
      <c r="D369" s="56" t="s">
        <v>1316</v>
      </c>
      <c r="E369" s="56" t="s">
        <v>1348</v>
      </c>
      <c r="F369" s="56" t="s">
        <v>1213</v>
      </c>
      <c r="G369" s="56" t="s">
        <v>1439</v>
      </c>
      <c r="H369" s="56"/>
    </row>
    <row r="370" spans="1:8" ht="15" customHeight="1">
      <c r="A370" s="56">
        <v>369</v>
      </c>
      <c r="B370" s="56" t="s">
        <v>2110</v>
      </c>
      <c r="C370" s="56" t="s">
        <v>2111</v>
      </c>
      <c r="D370" s="56" t="s">
        <v>1316</v>
      </c>
      <c r="E370" s="56" t="s">
        <v>1348</v>
      </c>
      <c r="F370" s="56" t="s">
        <v>1213</v>
      </c>
      <c r="G370" s="56" t="s">
        <v>1532</v>
      </c>
      <c r="H370" s="56"/>
    </row>
    <row r="371" spans="1:8" ht="15" customHeight="1">
      <c r="A371" s="56">
        <v>370</v>
      </c>
      <c r="B371" s="56" t="s">
        <v>2112</v>
      </c>
      <c r="C371" s="56" t="s">
        <v>2113</v>
      </c>
      <c r="D371" s="56" t="s">
        <v>1316</v>
      </c>
      <c r="E371" s="56" t="s">
        <v>1348</v>
      </c>
      <c r="F371" s="56" t="s">
        <v>1213</v>
      </c>
      <c r="G371" s="56" t="s">
        <v>1500</v>
      </c>
      <c r="H371" s="56"/>
    </row>
    <row r="372" spans="1:8" ht="15" customHeight="1">
      <c r="A372" s="56">
        <v>371</v>
      </c>
      <c r="B372" s="56" t="s">
        <v>2114</v>
      </c>
      <c r="C372" s="56" t="s">
        <v>2115</v>
      </c>
      <c r="D372" s="56" t="s">
        <v>1316</v>
      </c>
      <c r="E372" s="56" t="s">
        <v>1348</v>
      </c>
      <c r="F372" s="56" t="s">
        <v>1213</v>
      </c>
      <c r="G372" s="56" t="s">
        <v>1549</v>
      </c>
      <c r="H372" s="56"/>
    </row>
    <row r="373" spans="1:8" ht="15" customHeight="1">
      <c r="A373" s="56">
        <v>372</v>
      </c>
      <c r="B373" s="56" t="s">
        <v>2116</v>
      </c>
      <c r="C373" s="56" t="s">
        <v>2117</v>
      </c>
      <c r="D373" s="56" t="s">
        <v>1316</v>
      </c>
      <c r="E373" s="56" t="s">
        <v>1348</v>
      </c>
      <c r="F373" s="56" t="s">
        <v>1213</v>
      </c>
      <c r="G373" s="56" t="s">
        <v>1549</v>
      </c>
      <c r="H373" s="56"/>
    </row>
    <row r="374" spans="1:8" ht="15" customHeight="1">
      <c r="A374" s="56">
        <v>373</v>
      </c>
      <c r="B374" s="56" t="s">
        <v>2118</v>
      </c>
      <c r="C374" s="56" t="s">
        <v>2119</v>
      </c>
      <c r="D374" s="56" t="s">
        <v>1299</v>
      </c>
      <c r="E374" s="56" t="s">
        <v>1348</v>
      </c>
      <c r="F374" s="56" t="s">
        <v>1213</v>
      </c>
      <c r="G374" s="56" t="s">
        <v>1409</v>
      </c>
      <c r="H374" s="56"/>
    </row>
    <row r="375" spans="1:8" ht="15" customHeight="1">
      <c r="A375" s="56">
        <v>374</v>
      </c>
      <c r="B375" s="56" t="s">
        <v>2120</v>
      </c>
      <c r="C375" s="56" t="s">
        <v>2121</v>
      </c>
      <c r="D375" s="56" t="s">
        <v>1299</v>
      </c>
      <c r="E375" s="56" t="s">
        <v>1348</v>
      </c>
      <c r="F375" s="56" t="s">
        <v>1213</v>
      </c>
      <c r="G375" s="56" t="s">
        <v>1363</v>
      </c>
      <c r="H375" s="56"/>
    </row>
    <row r="376" spans="1:8" ht="15" customHeight="1">
      <c r="A376" s="56">
        <v>375</v>
      </c>
      <c r="B376" s="56" t="s">
        <v>2122</v>
      </c>
      <c r="C376" s="56" t="s">
        <v>2123</v>
      </c>
      <c r="D376" s="56" t="s">
        <v>1299</v>
      </c>
      <c r="E376" s="56" t="s">
        <v>1348</v>
      </c>
      <c r="F376" s="56" t="s">
        <v>1213</v>
      </c>
      <c r="G376" s="56" t="s">
        <v>1621</v>
      </c>
      <c r="H376" s="56"/>
    </row>
    <row r="377" spans="1:8" ht="15" customHeight="1">
      <c r="A377" s="56">
        <v>376</v>
      </c>
      <c r="B377" s="56" t="s">
        <v>2124</v>
      </c>
      <c r="C377" s="56" t="s">
        <v>2125</v>
      </c>
      <c r="D377" s="56" t="s">
        <v>1299</v>
      </c>
      <c r="E377" s="56" t="s">
        <v>1352</v>
      </c>
      <c r="F377" s="56" t="s">
        <v>1221</v>
      </c>
      <c r="G377" s="56" t="s">
        <v>1465</v>
      </c>
      <c r="H377" s="56"/>
    </row>
    <row r="378" spans="1:8" ht="15" customHeight="1">
      <c r="A378" s="56">
        <v>377</v>
      </c>
      <c r="B378" s="56" t="s">
        <v>2126</v>
      </c>
      <c r="C378" s="56" t="s">
        <v>2127</v>
      </c>
      <c r="D378" s="56" t="s">
        <v>1299</v>
      </c>
      <c r="E378" s="56" t="s">
        <v>1348</v>
      </c>
      <c r="F378" s="56" t="s">
        <v>1213</v>
      </c>
      <c r="G378" s="56" t="s">
        <v>1392</v>
      </c>
      <c r="H378" s="56"/>
    </row>
    <row r="379" spans="1:8" ht="15" customHeight="1">
      <c r="A379" s="56">
        <v>378</v>
      </c>
      <c r="B379" s="56" t="s">
        <v>2128</v>
      </c>
      <c r="C379" s="56" t="s">
        <v>2129</v>
      </c>
      <c r="D379" s="56" t="s">
        <v>1299</v>
      </c>
      <c r="E379" s="56" t="s">
        <v>1356</v>
      </c>
      <c r="F379" s="56" t="s">
        <v>1208</v>
      </c>
      <c r="G379" s="56" t="s">
        <v>1397</v>
      </c>
      <c r="H379" s="56"/>
    </row>
    <row r="380" spans="1:8" ht="15" customHeight="1">
      <c r="A380" s="56">
        <v>379</v>
      </c>
      <c r="B380" s="56" t="s">
        <v>2130</v>
      </c>
      <c r="C380" s="56" t="s">
        <v>1299</v>
      </c>
      <c r="D380" s="56" t="s">
        <v>1299</v>
      </c>
      <c r="E380" s="56" t="s">
        <v>1348</v>
      </c>
      <c r="F380" s="56" t="s">
        <v>1213</v>
      </c>
      <c r="G380" s="56" t="s">
        <v>1400</v>
      </c>
      <c r="H380" s="56"/>
    </row>
    <row r="381" spans="1:8" ht="15" customHeight="1">
      <c r="A381" s="56">
        <v>380</v>
      </c>
      <c r="B381" s="56" t="s">
        <v>2131</v>
      </c>
      <c r="C381" s="56" t="s">
        <v>2132</v>
      </c>
      <c r="D381" s="56" t="s">
        <v>1299</v>
      </c>
      <c r="E381" s="56" t="s">
        <v>1416</v>
      </c>
      <c r="F381" s="56" t="s">
        <v>1230</v>
      </c>
      <c r="G381" s="56" t="s">
        <v>1406</v>
      </c>
      <c r="H381" s="56"/>
    </row>
    <row r="382" spans="1:8" ht="15" customHeight="1">
      <c r="A382" s="56">
        <v>381</v>
      </c>
      <c r="B382" s="56" t="s">
        <v>2133</v>
      </c>
      <c r="C382" s="56" t="s">
        <v>2134</v>
      </c>
      <c r="D382" s="56" t="s">
        <v>1299</v>
      </c>
      <c r="E382" s="56" t="s">
        <v>1356</v>
      </c>
      <c r="F382" s="56" t="s">
        <v>1208</v>
      </c>
      <c r="G382" s="56" t="s">
        <v>1549</v>
      </c>
      <c r="H382" s="56"/>
    </row>
    <row r="383" spans="1:8" ht="15" customHeight="1">
      <c r="A383" s="56">
        <v>382</v>
      </c>
      <c r="B383" s="56" t="s">
        <v>2135</v>
      </c>
      <c r="C383" s="56" t="s">
        <v>2136</v>
      </c>
      <c r="D383" s="56" t="s">
        <v>1309</v>
      </c>
      <c r="E383" s="56" t="s">
        <v>1348</v>
      </c>
      <c r="F383" s="56" t="s">
        <v>1213</v>
      </c>
      <c r="G383" s="56" t="s">
        <v>1409</v>
      </c>
      <c r="H383" s="56"/>
    </row>
    <row r="384" spans="1:8" ht="15" customHeight="1">
      <c r="A384" s="56">
        <v>383</v>
      </c>
      <c r="B384" s="56" t="s">
        <v>2137</v>
      </c>
      <c r="C384" s="56" t="s">
        <v>2138</v>
      </c>
      <c r="D384" s="56" t="s">
        <v>1309</v>
      </c>
      <c r="E384" s="56" t="s">
        <v>1348</v>
      </c>
      <c r="F384" s="56" t="s">
        <v>1213</v>
      </c>
      <c r="G384" s="56" t="s">
        <v>1357</v>
      </c>
      <c r="H384" s="56"/>
    </row>
    <row r="385" spans="1:8" ht="15" customHeight="1">
      <c r="A385" s="56">
        <v>384</v>
      </c>
      <c r="B385" s="56" t="s">
        <v>2139</v>
      </c>
      <c r="C385" s="56" t="s">
        <v>2140</v>
      </c>
      <c r="D385" s="56" t="s">
        <v>1309</v>
      </c>
      <c r="E385" s="56" t="s">
        <v>1348</v>
      </c>
      <c r="F385" s="56" t="s">
        <v>1213</v>
      </c>
      <c r="G385" s="56" t="s">
        <v>1694</v>
      </c>
      <c r="H385" s="56"/>
    </row>
    <row r="386" spans="1:8" ht="15" customHeight="1">
      <c r="A386" s="56">
        <v>385</v>
      </c>
      <c r="B386" s="56" t="s">
        <v>2141</v>
      </c>
      <c r="C386" s="56" t="s">
        <v>2142</v>
      </c>
      <c r="D386" s="56" t="s">
        <v>1309</v>
      </c>
      <c r="E386" s="56" t="s">
        <v>1348</v>
      </c>
      <c r="F386" s="56" t="s">
        <v>1213</v>
      </c>
      <c r="G386" s="56" t="s">
        <v>1371</v>
      </c>
      <c r="H386" s="56"/>
    </row>
    <row r="387" spans="1:8" ht="15" customHeight="1">
      <c r="A387" s="56">
        <v>386</v>
      </c>
      <c r="B387" s="56" t="s">
        <v>2143</v>
      </c>
      <c r="C387" s="56" t="s">
        <v>2144</v>
      </c>
      <c r="D387" s="56" t="s">
        <v>1309</v>
      </c>
      <c r="E387" s="56" t="s">
        <v>1348</v>
      </c>
      <c r="F387" s="56" t="s">
        <v>1213</v>
      </c>
      <c r="G387" s="56" t="s">
        <v>1422</v>
      </c>
      <c r="H387" s="56"/>
    </row>
    <row r="388" spans="1:8" ht="15" customHeight="1">
      <c r="A388" s="56">
        <v>387</v>
      </c>
      <c r="B388" s="56" t="s">
        <v>2145</v>
      </c>
      <c r="C388" s="56" t="s">
        <v>2146</v>
      </c>
      <c r="D388" s="56" t="s">
        <v>1309</v>
      </c>
      <c r="E388" s="56" t="s">
        <v>1348</v>
      </c>
      <c r="F388" s="56" t="s">
        <v>1213</v>
      </c>
      <c r="G388" s="56" t="s">
        <v>1376</v>
      </c>
      <c r="H388" s="56"/>
    </row>
    <row r="389" spans="1:8" ht="15" customHeight="1">
      <c r="A389" s="56">
        <v>388</v>
      </c>
      <c r="B389" s="56" t="s">
        <v>2147</v>
      </c>
      <c r="C389" s="56" t="s">
        <v>2148</v>
      </c>
      <c r="D389" s="56" t="s">
        <v>1309</v>
      </c>
      <c r="E389" s="56" t="s">
        <v>1348</v>
      </c>
      <c r="F389" s="56" t="s">
        <v>1213</v>
      </c>
      <c r="G389" s="56" t="s">
        <v>1376</v>
      </c>
      <c r="H389" s="56"/>
    </row>
    <row r="390" spans="1:8" ht="15" customHeight="1">
      <c r="A390" s="56">
        <v>389</v>
      </c>
      <c r="B390" s="56" t="s">
        <v>2149</v>
      </c>
      <c r="C390" s="56" t="s">
        <v>2150</v>
      </c>
      <c r="D390" s="56" t="s">
        <v>1309</v>
      </c>
      <c r="E390" s="56" t="s">
        <v>1356</v>
      </c>
      <c r="F390" s="56" t="s">
        <v>1208</v>
      </c>
      <c r="G390" s="56" t="s">
        <v>1465</v>
      </c>
      <c r="H390" s="56"/>
    </row>
    <row r="391" spans="1:8" ht="15" customHeight="1">
      <c r="A391" s="56">
        <v>390</v>
      </c>
      <c r="B391" s="56" t="s">
        <v>2151</v>
      </c>
      <c r="C391" s="56" t="s">
        <v>2152</v>
      </c>
      <c r="D391" s="56" t="s">
        <v>1309</v>
      </c>
      <c r="E391" s="56" t="s">
        <v>1348</v>
      </c>
      <c r="F391" s="56" t="s">
        <v>1213</v>
      </c>
      <c r="G391" s="56" t="s">
        <v>1439</v>
      </c>
      <c r="H391" s="56"/>
    </row>
    <row r="392" spans="1:8" ht="15" customHeight="1">
      <c r="A392" s="56">
        <v>391</v>
      </c>
      <c r="B392" s="56" t="s">
        <v>2153</v>
      </c>
      <c r="C392" s="56" t="s">
        <v>2154</v>
      </c>
      <c r="D392" s="56" t="s">
        <v>1309</v>
      </c>
      <c r="E392" s="56" t="s">
        <v>1348</v>
      </c>
      <c r="F392" s="56" t="s">
        <v>1213</v>
      </c>
      <c r="G392" s="56" t="s">
        <v>1532</v>
      </c>
      <c r="H392" s="56"/>
    </row>
    <row r="393" spans="1:8" ht="15" customHeight="1">
      <c r="A393" s="56">
        <v>392</v>
      </c>
      <c r="B393" s="56" t="s">
        <v>2155</v>
      </c>
      <c r="C393" s="56" t="s">
        <v>2156</v>
      </c>
      <c r="D393" s="56" t="s">
        <v>1309</v>
      </c>
      <c r="E393" s="56" t="s">
        <v>1356</v>
      </c>
      <c r="F393" s="56" t="s">
        <v>1208</v>
      </c>
      <c r="G393" s="56" t="s">
        <v>1549</v>
      </c>
      <c r="H393" s="56"/>
    </row>
    <row r="394" spans="1:8" ht="15" customHeight="1">
      <c r="A394" s="56">
        <v>393</v>
      </c>
      <c r="B394" s="56" t="s">
        <v>2157</v>
      </c>
      <c r="C394" s="56" t="s">
        <v>2158</v>
      </c>
      <c r="D394" s="56" t="s">
        <v>1309</v>
      </c>
      <c r="E394" s="56" t="s">
        <v>1348</v>
      </c>
      <c r="F394" s="56" t="s">
        <v>1213</v>
      </c>
      <c r="G394" s="56" t="s">
        <v>1439</v>
      </c>
      <c r="H394" s="56"/>
    </row>
    <row r="395" spans="1:8" ht="15" customHeight="1">
      <c r="A395" s="56">
        <v>394</v>
      </c>
      <c r="B395" s="56" t="s">
        <v>2159</v>
      </c>
      <c r="C395" s="56" t="s">
        <v>2160</v>
      </c>
      <c r="D395" s="56" t="s">
        <v>1297</v>
      </c>
      <c r="E395" s="56" t="s">
        <v>1348</v>
      </c>
      <c r="F395" s="56" t="s">
        <v>1213</v>
      </c>
      <c r="G395" s="56" t="s">
        <v>1357</v>
      </c>
      <c r="H395" s="56"/>
    </row>
    <row r="396" spans="1:8" ht="15" customHeight="1">
      <c r="A396" s="56">
        <v>395</v>
      </c>
      <c r="B396" s="56" t="s">
        <v>2161</v>
      </c>
      <c r="C396" s="56" t="s">
        <v>2162</v>
      </c>
      <c r="D396" s="56" t="s">
        <v>1297</v>
      </c>
      <c r="E396" s="56" t="s">
        <v>1352</v>
      </c>
      <c r="F396" s="56" t="s">
        <v>1221</v>
      </c>
      <c r="G396" s="56" t="s">
        <v>1360</v>
      </c>
      <c r="H396" s="56"/>
    </row>
    <row r="397" spans="1:8" ht="15" customHeight="1">
      <c r="A397" s="56">
        <v>396</v>
      </c>
      <c r="B397" s="56" t="s">
        <v>2163</v>
      </c>
      <c r="C397" s="56" t="s">
        <v>2164</v>
      </c>
      <c r="D397" s="56" t="s">
        <v>1297</v>
      </c>
      <c r="E397" s="56" t="s">
        <v>1352</v>
      </c>
      <c r="F397" s="56" t="s">
        <v>1221</v>
      </c>
      <c r="G397" s="56" t="s">
        <v>1621</v>
      </c>
      <c r="H397" s="56"/>
    </row>
    <row r="398" spans="1:8" ht="15" customHeight="1">
      <c r="A398" s="56">
        <v>397</v>
      </c>
      <c r="B398" s="56" t="s">
        <v>2165</v>
      </c>
      <c r="C398" s="56" t="s">
        <v>2166</v>
      </c>
      <c r="D398" s="56" t="s">
        <v>1297</v>
      </c>
      <c r="E398" s="56" t="s">
        <v>1348</v>
      </c>
      <c r="F398" s="56" t="s">
        <v>1213</v>
      </c>
      <c r="G398" s="56" t="s">
        <v>1425</v>
      </c>
      <c r="H398" s="56"/>
    </row>
    <row r="399" spans="1:8" ht="15" customHeight="1">
      <c r="A399" s="56">
        <v>398</v>
      </c>
      <c r="B399" s="56" t="s">
        <v>2167</v>
      </c>
      <c r="C399" s="56" t="s">
        <v>2168</v>
      </c>
      <c r="D399" s="56" t="s">
        <v>1297</v>
      </c>
      <c r="E399" s="56" t="s">
        <v>1348</v>
      </c>
      <c r="F399" s="56" t="s">
        <v>1213</v>
      </c>
      <c r="G399" s="56" t="s">
        <v>1425</v>
      </c>
      <c r="H399" s="56"/>
    </row>
    <row r="400" spans="1:8" ht="15" customHeight="1">
      <c r="A400" s="56">
        <v>399</v>
      </c>
      <c r="B400" s="56" t="s">
        <v>2169</v>
      </c>
      <c r="C400" s="56" t="s">
        <v>2170</v>
      </c>
      <c r="D400" s="56" t="s">
        <v>1297</v>
      </c>
      <c r="E400" s="56" t="s">
        <v>1348</v>
      </c>
      <c r="F400" s="56" t="s">
        <v>1213</v>
      </c>
      <c r="G400" s="56" t="s">
        <v>1386</v>
      </c>
      <c r="H400" s="56"/>
    </row>
    <row r="401" spans="1:8" ht="15" customHeight="1">
      <c r="A401" s="56">
        <v>400</v>
      </c>
      <c r="B401" s="56" t="s">
        <v>2171</v>
      </c>
      <c r="C401" s="56" t="s">
        <v>2172</v>
      </c>
      <c r="D401" s="56" t="s">
        <v>1297</v>
      </c>
      <c r="E401" s="56" t="s">
        <v>1356</v>
      </c>
      <c r="F401" s="56" t="s">
        <v>1208</v>
      </c>
      <c r="G401" s="56" t="s">
        <v>1392</v>
      </c>
      <c r="H401" s="56"/>
    </row>
    <row r="402" spans="1:8" ht="15" customHeight="1">
      <c r="A402" s="56">
        <v>401</v>
      </c>
      <c r="B402" s="56" t="s">
        <v>2173</v>
      </c>
      <c r="C402" s="56" t="s">
        <v>2174</v>
      </c>
      <c r="D402" s="56" t="s">
        <v>1297</v>
      </c>
      <c r="E402" s="56" t="s">
        <v>1356</v>
      </c>
      <c r="F402" s="56" t="s">
        <v>1208</v>
      </c>
      <c r="G402" s="56" t="s">
        <v>1406</v>
      </c>
      <c r="H402" s="56"/>
    </row>
    <row r="403" spans="1:8" ht="15" customHeight="1">
      <c r="A403" s="56">
        <v>402</v>
      </c>
      <c r="B403" s="56" t="s">
        <v>2175</v>
      </c>
      <c r="C403" s="56" t="s">
        <v>2176</v>
      </c>
      <c r="D403" s="56" t="s">
        <v>1320</v>
      </c>
      <c r="E403" s="56" t="s">
        <v>1348</v>
      </c>
      <c r="F403" s="56" t="s">
        <v>1213</v>
      </c>
      <c r="G403" s="56" t="s">
        <v>1409</v>
      </c>
      <c r="H403" s="56"/>
    </row>
    <row r="404" spans="1:8" ht="15" customHeight="1">
      <c r="A404" s="56">
        <v>403</v>
      </c>
      <c r="B404" s="56" t="s">
        <v>2177</v>
      </c>
      <c r="C404" s="56" t="s">
        <v>2178</v>
      </c>
      <c r="D404" s="56" t="s">
        <v>1320</v>
      </c>
      <c r="E404" s="56" t="s">
        <v>1348</v>
      </c>
      <c r="F404" s="56" t="s">
        <v>1213</v>
      </c>
      <c r="G404" s="56" t="s">
        <v>1357</v>
      </c>
      <c r="H404" s="56"/>
    </row>
    <row r="405" spans="1:8" ht="15" customHeight="1">
      <c r="A405" s="56">
        <v>404</v>
      </c>
      <c r="B405" s="56" t="s">
        <v>2179</v>
      </c>
      <c r="C405" s="56" t="s">
        <v>2180</v>
      </c>
      <c r="D405" s="56" t="s">
        <v>1320</v>
      </c>
      <c r="E405" s="56" t="s">
        <v>1348</v>
      </c>
      <c r="F405" s="56" t="s">
        <v>1213</v>
      </c>
      <c r="G405" s="56" t="s">
        <v>1357</v>
      </c>
      <c r="H405" s="56"/>
    </row>
    <row r="406" spans="1:8" ht="15" customHeight="1">
      <c r="A406" s="56">
        <v>405</v>
      </c>
      <c r="B406" s="56" t="s">
        <v>2181</v>
      </c>
      <c r="C406" s="56" t="s">
        <v>2182</v>
      </c>
      <c r="D406" s="56" t="s">
        <v>1320</v>
      </c>
      <c r="E406" s="56" t="s">
        <v>1348</v>
      </c>
      <c r="F406" s="56" t="s">
        <v>1213</v>
      </c>
      <c r="G406" s="56" t="s">
        <v>1694</v>
      </c>
      <c r="H406" s="56"/>
    </row>
    <row r="407" spans="1:8" ht="15" customHeight="1">
      <c r="A407" s="56">
        <v>406</v>
      </c>
      <c r="B407" s="56" t="s">
        <v>2183</v>
      </c>
      <c r="C407" s="56" t="s">
        <v>2184</v>
      </c>
      <c r="D407" s="56" t="s">
        <v>1320</v>
      </c>
      <c r="E407" s="56" t="s">
        <v>1348</v>
      </c>
      <c r="F407" s="56" t="s">
        <v>1213</v>
      </c>
      <c r="G407" s="56" t="s">
        <v>1500</v>
      </c>
      <c r="H407" s="56"/>
    </row>
    <row r="408" spans="1:8" ht="15" customHeight="1">
      <c r="A408" s="56">
        <v>407</v>
      </c>
      <c r="B408" s="56" t="s">
        <v>2185</v>
      </c>
      <c r="C408" s="56" t="s">
        <v>2186</v>
      </c>
      <c r="D408" s="56" t="s">
        <v>1320</v>
      </c>
      <c r="E408" s="56" t="s">
        <v>1348</v>
      </c>
      <c r="F408" s="56" t="s">
        <v>1213</v>
      </c>
      <c r="G408" s="56" t="s">
        <v>1621</v>
      </c>
      <c r="H408" s="56"/>
    </row>
    <row r="409" spans="1:8" ht="15" customHeight="1">
      <c r="A409" s="56">
        <v>408</v>
      </c>
      <c r="B409" s="56" t="s">
        <v>2187</v>
      </c>
      <c r="C409" s="56" t="s">
        <v>2188</v>
      </c>
      <c r="D409" s="56" t="s">
        <v>1320</v>
      </c>
      <c r="E409" s="56" t="s">
        <v>1348</v>
      </c>
      <c r="F409" s="56" t="s">
        <v>1213</v>
      </c>
      <c r="G409" s="56" t="s">
        <v>1621</v>
      </c>
      <c r="H409" s="56"/>
    </row>
    <row r="410" spans="1:8" ht="15" customHeight="1">
      <c r="A410" s="56">
        <v>409</v>
      </c>
      <c r="B410" s="56" t="s">
        <v>2189</v>
      </c>
      <c r="C410" s="56" t="s">
        <v>2190</v>
      </c>
      <c r="D410" s="56" t="s">
        <v>1320</v>
      </c>
      <c r="E410" s="56" t="s">
        <v>1348</v>
      </c>
      <c r="F410" s="56" t="s">
        <v>1213</v>
      </c>
      <c r="G410" s="56" t="s">
        <v>1621</v>
      </c>
      <c r="H410" s="56"/>
    </row>
    <row r="411" spans="1:8" ht="15" customHeight="1">
      <c r="A411" s="56">
        <v>410</v>
      </c>
      <c r="B411" s="56" t="s">
        <v>2191</v>
      </c>
      <c r="C411" s="56" t="s">
        <v>2192</v>
      </c>
      <c r="D411" s="56" t="s">
        <v>1320</v>
      </c>
      <c r="E411" s="56" t="s">
        <v>1348</v>
      </c>
      <c r="F411" s="56" t="s">
        <v>1213</v>
      </c>
      <c r="G411" s="56" t="s">
        <v>1371</v>
      </c>
      <c r="H411" s="56"/>
    </row>
    <row r="412" spans="1:8" ht="15" customHeight="1">
      <c r="A412" s="56">
        <v>411</v>
      </c>
      <c r="B412" s="56" t="s">
        <v>2193</v>
      </c>
      <c r="C412" s="56" t="s">
        <v>2194</v>
      </c>
      <c r="D412" s="56" t="s">
        <v>1320</v>
      </c>
      <c r="E412" s="56" t="s">
        <v>1348</v>
      </c>
      <c r="F412" s="56" t="s">
        <v>1213</v>
      </c>
      <c r="G412" s="56" t="s">
        <v>1371</v>
      </c>
      <c r="H412" s="56"/>
    </row>
    <row r="413" spans="1:8" ht="15" customHeight="1">
      <c r="A413" s="56">
        <v>412</v>
      </c>
      <c r="B413" s="56" t="s">
        <v>2195</v>
      </c>
      <c r="C413" s="56" t="s">
        <v>2196</v>
      </c>
      <c r="D413" s="56" t="s">
        <v>1320</v>
      </c>
      <c r="E413" s="56" t="s">
        <v>1348</v>
      </c>
      <c r="F413" s="56" t="s">
        <v>1213</v>
      </c>
      <c r="G413" s="56" t="s">
        <v>1422</v>
      </c>
      <c r="H413" s="56"/>
    </row>
    <row r="414" spans="1:8" ht="15" customHeight="1">
      <c r="A414" s="56">
        <v>413</v>
      </c>
      <c r="B414" s="56" t="s">
        <v>2197</v>
      </c>
      <c r="C414" s="56" t="s">
        <v>2198</v>
      </c>
      <c r="D414" s="56" t="s">
        <v>1320</v>
      </c>
      <c r="E414" s="56" t="s">
        <v>1352</v>
      </c>
      <c r="F414" s="56" t="s">
        <v>1221</v>
      </c>
      <c r="G414" s="56" t="s">
        <v>1425</v>
      </c>
      <c r="H414" s="56"/>
    </row>
    <row r="415" spans="1:8" ht="15" customHeight="1">
      <c r="A415" s="56">
        <v>414</v>
      </c>
      <c r="B415" s="56" t="s">
        <v>2199</v>
      </c>
      <c r="C415" s="56" t="s">
        <v>2200</v>
      </c>
      <c r="D415" s="56" t="s">
        <v>1320</v>
      </c>
      <c r="E415" s="56" t="s">
        <v>1356</v>
      </c>
      <c r="F415" s="56" t="s">
        <v>1208</v>
      </c>
      <c r="G415" s="56" t="s">
        <v>1425</v>
      </c>
      <c r="H415" s="56"/>
    </row>
    <row r="416" spans="1:8" ht="15" customHeight="1">
      <c r="A416" s="56">
        <v>415</v>
      </c>
      <c r="B416" s="56" t="s">
        <v>2201</v>
      </c>
      <c r="C416" s="56" t="s">
        <v>2202</v>
      </c>
      <c r="D416" s="56" t="s">
        <v>1320</v>
      </c>
      <c r="E416" s="56" t="s">
        <v>1356</v>
      </c>
      <c r="F416" s="56" t="s">
        <v>1208</v>
      </c>
      <c r="G416" s="56" t="s">
        <v>1376</v>
      </c>
      <c r="H416" s="56"/>
    </row>
    <row r="417" spans="1:8" ht="15" customHeight="1">
      <c r="A417" s="56">
        <v>416</v>
      </c>
      <c r="B417" s="56" t="s">
        <v>2203</v>
      </c>
      <c r="C417" s="56" t="s">
        <v>2204</v>
      </c>
      <c r="D417" s="56" t="s">
        <v>1320</v>
      </c>
      <c r="E417" s="56" t="s">
        <v>1348</v>
      </c>
      <c r="F417" s="56" t="s">
        <v>1213</v>
      </c>
      <c r="G417" s="56" t="s">
        <v>1376</v>
      </c>
      <c r="H417" s="56"/>
    </row>
    <row r="418" spans="1:8" ht="15" customHeight="1">
      <c r="A418" s="56">
        <v>417</v>
      </c>
      <c r="B418" s="56" t="s">
        <v>2205</v>
      </c>
      <c r="C418" s="56" t="s">
        <v>2206</v>
      </c>
      <c r="D418" s="56" t="s">
        <v>1320</v>
      </c>
      <c r="E418" s="56" t="s">
        <v>1348</v>
      </c>
      <c r="F418" s="56" t="s">
        <v>1213</v>
      </c>
      <c r="G418" s="56" t="s">
        <v>1439</v>
      </c>
      <c r="H418" s="56"/>
    </row>
    <row r="419" spans="1:8" ht="15" customHeight="1">
      <c r="A419" s="56">
        <v>418</v>
      </c>
      <c r="B419" s="56" t="s">
        <v>2207</v>
      </c>
      <c r="C419" s="56" t="s">
        <v>1320</v>
      </c>
      <c r="D419" s="56" t="s">
        <v>1320</v>
      </c>
      <c r="E419" s="56" t="s">
        <v>1352</v>
      </c>
      <c r="F419" s="56" t="s">
        <v>1221</v>
      </c>
      <c r="G419" s="56" t="s">
        <v>1406</v>
      </c>
      <c r="H419" s="56"/>
    </row>
    <row r="420" spans="1:8" ht="15" customHeight="1">
      <c r="A420" s="56">
        <v>419</v>
      </c>
      <c r="B420" s="56" t="s">
        <v>2208</v>
      </c>
      <c r="C420" s="56" t="s">
        <v>2209</v>
      </c>
      <c r="D420" s="56" t="s">
        <v>1320</v>
      </c>
      <c r="E420" s="56" t="s">
        <v>1348</v>
      </c>
      <c r="F420" s="56" t="s">
        <v>1213</v>
      </c>
      <c r="G420" s="56" t="s">
        <v>1549</v>
      </c>
      <c r="H420" s="56"/>
    </row>
    <row r="421" spans="1:8" ht="15" customHeight="1">
      <c r="A421" s="56">
        <v>420</v>
      </c>
      <c r="B421" s="56" t="s">
        <v>2210</v>
      </c>
      <c r="C421" s="56" t="s">
        <v>2211</v>
      </c>
      <c r="D421" s="56" t="s">
        <v>1320</v>
      </c>
      <c r="E421" s="56" t="s">
        <v>1348</v>
      </c>
      <c r="F421" s="56" t="s">
        <v>1213</v>
      </c>
      <c r="G421" s="56" t="s">
        <v>1549</v>
      </c>
      <c r="H421" s="56"/>
    </row>
    <row r="422" spans="1:8" ht="15" customHeight="1">
      <c r="A422" s="56">
        <v>421</v>
      </c>
      <c r="B422" s="56" t="s">
        <v>2212</v>
      </c>
      <c r="C422" s="56" t="s">
        <v>2213</v>
      </c>
      <c r="D422" s="56" t="s">
        <v>1320</v>
      </c>
      <c r="E422" s="56" t="s">
        <v>1348</v>
      </c>
      <c r="F422" s="56" t="s">
        <v>1213</v>
      </c>
      <c r="G422" s="56" t="s">
        <v>1549</v>
      </c>
      <c r="H422" s="56"/>
    </row>
    <row r="423" spans="1:8" ht="15" customHeight="1">
      <c r="A423" s="56">
        <v>422</v>
      </c>
      <c r="B423" s="56" t="s">
        <v>2214</v>
      </c>
      <c r="C423" s="56" t="s">
        <v>2215</v>
      </c>
      <c r="D423" s="56" t="s">
        <v>1320</v>
      </c>
      <c r="E423" s="56" t="s">
        <v>1356</v>
      </c>
      <c r="F423" s="56" t="s">
        <v>1208</v>
      </c>
      <c r="G423" s="56" t="s">
        <v>1482</v>
      </c>
      <c r="H423" s="56"/>
    </row>
    <row r="424" spans="1:8" ht="15" customHeight="1">
      <c r="A424" s="56">
        <v>423</v>
      </c>
      <c r="B424" s="56" t="s">
        <v>2216</v>
      </c>
      <c r="C424" s="56" t="s">
        <v>2217</v>
      </c>
      <c r="D424" s="56" t="s">
        <v>1301</v>
      </c>
      <c r="E424" s="56" t="s">
        <v>1348</v>
      </c>
      <c r="F424" s="56" t="s">
        <v>1213</v>
      </c>
      <c r="G424" s="56" t="s">
        <v>1409</v>
      </c>
      <c r="H424" s="56"/>
    </row>
    <row r="425" spans="1:8" ht="15" customHeight="1">
      <c r="A425" s="56">
        <v>424</v>
      </c>
      <c r="B425" s="56" t="s">
        <v>2218</v>
      </c>
      <c r="C425" s="56" t="s">
        <v>2219</v>
      </c>
      <c r="D425" s="56" t="s">
        <v>1301</v>
      </c>
      <c r="E425" s="56" t="s">
        <v>1352</v>
      </c>
      <c r="F425" s="56" t="s">
        <v>1221</v>
      </c>
      <c r="G425" s="56" t="s">
        <v>1457</v>
      </c>
      <c r="H425" s="56"/>
    </row>
    <row r="426" spans="1:8" ht="15" customHeight="1">
      <c r="A426" s="56">
        <v>425</v>
      </c>
      <c r="B426" s="56" t="s">
        <v>2220</v>
      </c>
      <c r="C426" s="56" t="s">
        <v>2221</v>
      </c>
      <c r="D426" s="56" t="s">
        <v>1301</v>
      </c>
      <c r="E426" s="56" t="s">
        <v>1348</v>
      </c>
      <c r="F426" s="56" t="s">
        <v>1213</v>
      </c>
      <c r="G426" s="56" t="s">
        <v>1500</v>
      </c>
      <c r="H426" s="56"/>
    </row>
    <row r="427" spans="1:8" ht="15" customHeight="1">
      <c r="A427" s="56">
        <v>426</v>
      </c>
      <c r="B427" s="56" t="s">
        <v>2222</v>
      </c>
      <c r="C427" s="56" t="s">
        <v>2223</v>
      </c>
      <c r="D427" s="56" t="s">
        <v>1301</v>
      </c>
      <c r="E427" s="56" t="s">
        <v>1348</v>
      </c>
      <c r="F427" s="56" t="s">
        <v>1213</v>
      </c>
      <c r="G427" s="56" t="s">
        <v>1621</v>
      </c>
      <c r="H427" s="56"/>
    </row>
    <row r="428" spans="1:8" ht="15" customHeight="1">
      <c r="A428" s="56">
        <v>427</v>
      </c>
      <c r="B428" s="56" t="s">
        <v>2224</v>
      </c>
      <c r="C428" s="56" t="s">
        <v>2225</v>
      </c>
      <c r="D428" s="56" t="s">
        <v>1301</v>
      </c>
      <c r="E428" s="56" t="s">
        <v>1348</v>
      </c>
      <c r="F428" s="56" t="s">
        <v>1213</v>
      </c>
      <c r="G428" s="56" t="s">
        <v>1371</v>
      </c>
      <c r="H428" s="56"/>
    </row>
    <row r="429" spans="1:8" ht="15" customHeight="1">
      <c r="A429" s="56">
        <v>428</v>
      </c>
      <c r="B429" s="56" t="s">
        <v>2226</v>
      </c>
      <c r="C429" s="56" t="s">
        <v>2227</v>
      </c>
      <c r="D429" s="56" t="s">
        <v>1301</v>
      </c>
      <c r="E429" s="56" t="s">
        <v>1348</v>
      </c>
      <c r="F429" s="56" t="s">
        <v>1213</v>
      </c>
      <c r="G429" s="56" t="s">
        <v>1371</v>
      </c>
      <c r="H429" s="56"/>
    </row>
    <row r="430" spans="1:8" ht="15" customHeight="1">
      <c r="A430" s="56">
        <v>429</v>
      </c>
      <c r="B430" s="56" t="s">
        <v>2228</v>
      </c>
      <c r="C430" s="56" t="s">
        <v>2229</v>
      </c>
      <c r="D430" s="56" t="s">
        <v>1301</v>
      </c>
      <c r="E430" s="56" t="s">
        <v>1348</v>
      </c>
      <c r="F430" s="56" t="s">
        <v>1213</v>
      </c>
      <c r="G430" s="56" t="s">
        <v>1425</v>
      </c>
      <c r="H430" s="56"/>
    </row>
    <row r="431" spans="1:8" ht="15" customHeight="1">
      <c r="A431" s="56">
        <v>430</v>
      </c>
      <c r="B431" s="56" t="s">
        <v>2230</v>
      </c>
      <c r="C431" s="56" t="s">
        <v>2231</v>
      </c>
      <c r="D431" s="56" t="s">
        <v>1301</v>
      </c>
      <c r="E431" s="56" t="s">
        <v>1352</v>
      </c>
      <c r="F431" s="56" t="s">
        <v>1221</v>
      </c>
      <c r="G431" s="56" t="s">
        <v>1425</v>
      </c>
      <c r="H431" s="56"/>
    </row>
    <row r="432" spans="1:8" ht="15" customHeight="1">
      <c r="A432" s="56">
        <v>431</v>
      </c>
      <c r="B432" s="56" t="s">
        <v>2232</v>
      </c>
      <c r="C432" s="56" t="s">
        <v>2233</v>
      </c>
      <c r="D432" s="56" t="s">
        <v>1301</v>
      </c>
      <c r="E432" s="56" t="s">
        <v>1356</v>
      </c>
      <c r="F432" s="56" t="s">
        <v>1208</v>
      </c>
      <c r="G432" s="56" t="s">
        <v>1376</v>
      </c>
      <c r="H432" s="56"/>
    </row>
    <row r="433" spans="1:8" ht="15" customHeight="1">
      <c r="A433" s="56">
        <v>432</v>
      </c>
      <c r="B433" s="56" t="s">
        <v>2234</v>
      </c>
      <c r="C433" s="56" t="s">
        <v>2235</v>
      </c>
      <c r="D433" s="56" t="s">
        <v>1301</v>
      </c>
      <c r="E433" s="56" t="s">
        <v>1348</v>
      </c>
      <c r="F433" s="56" t="s">
        <v>1213</v>
      </c>
      <c r="G433" s="56" t="s">
        <v>1406</v>
      </c>
      <c r="H433" s="56"/>
    </row>
    <row r="434" spans="1:8" ht="15" customHeight="1">
      <c r="A434" s="56">
        <v>433</v>
      </c>
      <c r="B434" s="56" t="s">
        <v>2236</v>
      </c>
      <c r="C434" s="56" t="s">
        <v>2237</v>
      </c>
      <c r="D434" s="56" t="s">
        <v>1301</v>
      </c>
      <c r="E434" s="56" t="s">
        <v>1348</v>
      </c>
      <c r="F434" s="56" t="s">
        <v>1213</v>
      </c>
      <c r="G434" s="56" t="s">
        <v>1397</v>
      </c>
      <c r="H434" s="56"/>
    </row>
    <row r="435" spans="1:8" ht="15" customHeight="1">
      <c r="A435" s="56">
        <v>434</v>
      </c>
      <c r="B435" s="56" t="s">
        <v>2238</v>
      </c>
      <c r="C435" s="56" t="s">
        <v>2239</v>
      </c>
      <c r="D435" s="56" t="s">
        <v>1301</v>
      </c>
      <c r="E435" s="56" t="s">
        <v>1348</v>
      </c>
      <c r="F435" s="56" t="s">
        <v>1213</v>
      </c>
      <c r="G435" s="56" t="s">
        <v>1400</v>
      </c>
      <c r="H435" s="56"/>
    </row>
    <row r="436" spans="1:8" ht="15" customHeight="1">
      <c r="A436" s="56">
        <v>435</v>
      </c>
      <c r="B436" s="56" t="s">
        <v>2240</v>
      </c>
      <c r="C436" s="56" t="s">
        <v>2241</v>
      </c>
      <c r="D436" s="56" t="s">
        <v>1301</v>
      </c>
      <c r="E436" s="56" t="s">
        <v>1352</v>
      </c>
      <c r="F436" s="56" t="s">
        <v>1221</v>
      </c>
      <c r="G436" s="56" t="s">
        <v>1457</v>
      </c>
      <c r="H436" s="56"/>
    </row>
    <row r="437" spans="1:8" ht="15" customHeight="1">
      <c r="A437" s="56">
        <v>436</v>
      </c>
      <c r="B437" s="56" t="s">
        <v>2242</v>
      </c>
      <c r="C437" s="56" t="s">
        <v>1301</v>
      </c>
      <c r="D437" s="56" t="s">
        <v>1301</v>
      </c>
      <c r="E437" s="56" t="s">
        <v>1352</v>
      </c>
      <c r="F437" s="56" t="s">
        <v>1221</v>
      </c>
      <c r="G437" s="56" t="s">
        <v>1406</v>
      </c>
      <c r="H437" s="56"/>
    </row>
    <row r="438" spans="1:8" ht="15" customHeight="1">
      <c r="A438" s="56">
        <v>437</v>
      </c>
      <c r="B438" s="56" t="s">
        <v>2243</v>
      </c>
      <c r="C438" s="56" t="s">
        <v>2244</v>
      </c>
      <c r="D438" s="56" t="s">
        <v>1301</v>
      </c>
      <c r="E438" s="56" t="s">
        <v>1352</v>
      </c>
      <c r="F438" s="56" t="s">
        <v>1221</v>
      </c>
      <c r="G438" s="56" t="s">
        <v>1406</v>
      </c>
      <c r="H438" s="56"/>
    </row>
    <row r="439" spans="1:8" ht="15" customHeight="1">
      <c r="A439" s="56">
        <v>438</v>
      </c>
      <c r="B439" s="56" t="s">
        <v>2245</v>
      </c>
      <c r="C439" s="56" t="s">
        <v>2246</v>
      </c>
      <c r="D439" s="56" t="s">
        <v>1301</v>
      </c>
      <c r="E439" s="56" t="s">
        <v>1356</v>
      </c>
      <c r="F439" s="56" t="s">
        <v>1208</v>
      </c>
      <c r="G439" s="56" t="s">
        <v>1549</v>
      </c>
      <c r="H439" s="56"/>
    </row>
    <row r="440" spans="1:8" ht="15" customHeight="1">
      <c r="A440" s="56">
        <v>439</v>
      </c>
      <c r="B440" s="56" t="s">
        <v>2247</v>
      </c>
      <c r="C440" s="56" t="s">
        <v>2248</v>
      </c>
      <c r="D440" s="56" t="s">
        <v>1301</v>
      </c>
      <c r="E440" s="56" t="s">
        <v>1348</v>
      </c>
      <c r="F440" s="56" t="s">
        <v>1213</v>
      </c>
      <c r="G440" s="56" t="s">
        <v>1439</v>
      </c>
      <c r="H440" s="56"/>
    </row>
    <row r="441" spans="1:8" ht="15" customHeight="1">
      <c r="A441" s="56">
        <v>440</v>
      </c>
      <c r="B441" s="56" t="s">
        <v>2249</v>
      </c>
      <c r="C441" s="56" t="s">
        <v>2250</v>
      </c>
      <c r="D441" s="56" t="s">
        <v>1311</v>
      </c>
      <c r="E441" s="56" t="s">
        <v>1352</v>
      </c>
      <c r="F441" s="56" t="s">
        <v>1221</v>
      </c>
      <c r="G441" s="56" t="s">
        <v>1419</v>
      </c>
      <c r="H441" s="56"/>
    </row>
    <row r="442" spans="1:8" ht="15" customHeight="1">
      <c r="A442" s="56">
        <v>441</v>
      </c>
      <c r="B442" s="56" t="s">
        <v>2251</v>
      </c>
      <c r="C442" s="56" t="s">
        <v>2252</v>
      </c>
      <c r="D442" s="56" t="s">
        <v>1311</v>
      </c>
      <c r="E442" s="56" t="s">
        <v>1348</v>
      </c>
      <c r="F442" s="56" t="s">
        <v>1213</v>
      </c>
      <c r="G442" s="56" t="s">
        <v>1425</v>
      </c>
      <c r="H442" s="56"/>
    </row>
    <row r="443" spans="1:8" ht="15" customHeight="1">
      <c r="A443" s="56">
        <v>442</v>
      </c>
      <c r="B443" s="56" t="s">
        <v>2253</v>
      </c>
      <c r="C443" s="56" t="s">
        <v>2254</v>
      </c>
      <c r="D443" s="56" t="s">
        <v>1311</v>
      </c>
      <c r="E443" s="56" t="s">
        <v>1348</v>
      </c>
      <c r="F443" s="56" t="s">
        <v>1213</v>
      </c>
      <c r="G443" s="56" t="s">
        <v>1549</v>
      </c>
      <c r="H443" s="56"/>
    </row>
    <row r="444" spans="1:8" ht="15" customHeight="1">
      <c r="A444" s="56">
        <v>443</v>
      </c>
      <c r="B444" s="56" t="s">
        <v>2255</v>
      </c>
      <c r="C444" s="56" t="s">
        <v>2256</v>
      </c>
      <c r="D444" s="56" t="s">
        <v>1311</v>
      </c>
      <c r="E444" s="56" t="s">
        <v>1348</v>
      </c>
      <c r="F444" s="56" t="s">
        <v>1213</v>
      </c>
      <c r="G444" s="56" t="s">
        <v>1400</v>
      </c>
      <c r="H444" s="56"/>
    </row>
    <row r="445" spans="1:8" ht="15" customHeight="1">
      <c r="A445" s="56">
        <v>444</v>
      </c>
      <c r="B445" s="56" t="s">
        <v>2257</v>
      </c>
      <c r="C445" s="56" t="s">
        <v>2258</v>
      </c>
      <c r="D445" s="56" t="s">
        <v>1330</v>
      </c>
      <c r="E445" s="56" t="s">
        <v>1348</v>
      </c>
      <c r="F445" s="56" t="s">
        <v>1213</v>
      </c>
      <c r="G445" s="56" t="s">
        <v>1349</v>
      </c>
      <c r="H445" s="56"/>
    </row>
    <row r="446" spans="1:8" ht="15" customHeight="1">
      <c r="A446" s="56">
        <v>445</v>
      </c>
      <c r="B446" s="56" t="s">
        <v>2259</v>
      </c>
      <c r="C446" s="56" t="s">
        <v>2260</v>
      </c>
      <c r="D446" s="56" t="s">
        <v>1330</v>
      </c>
      <c r="E446" s="56" t="s">
        <v>1348</v>
      </c>
      <c r="F446" s="56" t="s">
        <v>1213</v>
      </c>
      <c r="G446" s="56" t="s">
        <v>1360</v>
      </c>
      <c r="H446" s="56"/>
    </row>
    <row r="447" spans="1:8" ht="15" customHeight="1">
      <c r="A447" s="56">
        <v>446</v>
      </c>
      <c r="B447" s="56" t="s">
        <v>2261</v>
      </c>
      <c r="C447" s="56" t="s">
        <v>2262</v>
      </c>
      <c r="D447" s="56" t="s">
        <v>1330</v>
      </c>
      <c r="E447" s="56" t="s">
        <v>1348</v>
      </c>
      <c r="F447" s="56" t="s">
        <v>1213</v>
      </c>
      <c r="G447" s="56" t="s">
        <v>1360</v>
      </c>
      <c r="H447" s="56"/>
    </row>
    <row r="448" spans="1:8" ht="15" customHeight="1">
      <c r="A448" s="56">
        <v>447</v>
      </c>
      <c r="B448" s="56" t="s">
        <v>2263</v>
      </c>
      <c r="C448" s="56" t="s">
        <v>2264</v>
      </c>
      <c r="D448" s="56" t="s">
        <v>1330</v>
      </c>
      <c r="E448" s="56" t="s">
        <v>1348</v>
      </c>
      <c r="F448" s="56" t="s">
        <v>1213</v>
      </c>
      <c r="G448" s="56" t="s">
        <v>1621</v>
      </c>
      <c r="H448" s="56"/>
    </row>
    <row r="449" spans="1:8" ht="15" customHeight="1">
      <c r="A449" s="56">
        <v>448</v>
      </c>
      <c r="B449" s="56" t="s">
        <v>2265</v>
      </c>
      <c r="C449" s="56" t="s">
        <v>2266</v>
      </c>
      <c r="D449" s="56" t="s">
        <v>1330</v>
      </c>
      <c r="E449" s="56" t="s">
        <v>1356</v>
      </c>
      <c r="F449" s="56" t="s">
        <v>1208</v>
      </c>
      <c r="G449" s="56" t="s">
        <v>1465</v>
      </c>
      <c r="H449" s="56"/>
    </row>
    <row r="450" spans="1:8" ht="15" customHeight="1">
      <c r="A450" s="56">
        <v>449</v>
      </c>
      <c r="B450" s="56" t="s">
        <v>2267</v>
      </c>
      <c r="C450" s="56" t="s">
        <v>2268</v>
      </c>
      <c r="D450" s="56" t="s">
        <v>1330</v>
      </c>
      <c r="E450" s="56" t="s">
        <v>1348</v>
      </c>
      <c r="F450" s="56" t="s">
        <v>1213</v>
      </c>
      <c r="G450" s="56" t="s">
        <v>1389</v>
      </c>
      <c r="H450" s="56"/>
    </row>
    <row r="451" spans="1:8" ht="15" customHeight="1">
      <c r="A451" s="56">
        <v>450</v>
      </c>
      <c r="B451" s="56" t="s">
        <v>2269</v>
      </c>
      <c r="C451" s="56" t="s">
        <v>2270</v>
      </c>
      <c r="D451" s="56" t="s">
        <v>1330</v>
      </c>
      <c r="E451" s="56" t="s">
        <v>1348</v>
      </c>
      <c r="F451" s="56" t="s">
        <v>1213</v>
      </c>
      <c r="G451" s="56" t="s">
        <v>1392</v>
      </c>
      <c r="H451" s="56"/>
    </row>
    <row r="452" spans="1:8" ht="15" customHeight="1">
      <c r="A452" s="56">
        <v>451</v>
      </c>
      <c r="B452" s="56" t="s">
        <v>2271</v>
      </c>
      <c r="C452" s="56" t="s">
        <v>2272</v>
      </c>
      <c r="D452" s="56" t="s">
        <v>1330</v>
      </c>
      <c r="E452" s="56" t="s">
        <v>1348</v>
      </c>
      <c r="F452" s="56" t="s">
        <v>1213</v>
      </c>
      <c r="G452" s="56" t="s">
        <v>1605</v>
      </c>
      <c r="H452" s="56"/>
    </row>
    <row r="453" spans="1:8" ht="15" customHeight="1">
      <c r="A453" s="56">
        <v>452</v>
      </c>
      <c r="B453" s="56" t="s">
        <v>2273</v>
      </c>
      <c r="C453" s="56" t="s">
        <v>2274</v>
      </c>
      <c r="D453" s="56" t="s">
        <v>1330</v>
      </c>
      <c r="E453" s="56" t="s">
        <v>1348</v>
      </c>
      <c r="F453" s="56" t="s">
        <v>1213</v>
      </c>
      <c r="G453" s="56" t="s">
        <v>1549</v>
      </c>
      <c r="H453" s="56"/>
    </row>
    <row r="454" spans="1:8" ht="15" customHeight="1">
      <c r="A454" s="56">
        <v>453</v>
      </c>
      <c r="B454" s="56" t="s">
        <v>2275</v>
      </c>
      <c r="C454" s="56" t="s">
        <v>2276</v>
      </c>
      <c r="D454" s="56" t="s">
        <v>1330</v>
      </c>
      <c r="E454" s="56" t="s">
        <v>1348</v>
      </c>
      <c r="F454" s="56" t="s">
        <v>1213</v>
      </c>
      <c r="G454" s="56" t="s">
        <v>1482</v>
      </c>
      <c r="H454" s="56"/>
    </row>
    <row r="455" spans="1:8" ht="15" customHeight="1">
      <c r="A455" s="56">
        <v>454</v>
      </c>
      <c r="B455" s="56" t="s">
        <v>2277</v>
      </c>
      <c r="C455" s="56" t="s">
        <v>2278</v>
      </c>
      <c r="D455" s="56" t="s">
        <v>1287</v>
      </c>
      <c r="E455" s="56" t="s">
        <v>1348</v>
      </c>
      <c r="F455" s="56" t="s">
        <v>1213</v>
      </c>
      <c r="G455" s="56" t="s">
        <v>1349</v>
      </c>
      <c r="H455" s="56"/>
    </row>
    <row r="456" spans="1:8" ht="15" customHeight="1">
      <c r="A456" s="56">
        <v>455</v>
      </c>
      <c r="B456" s="56" t="s">
        <v>2279</v>
      </c>
      <c r="C456" s="56" t="s">
        <v>1840</v>
      </c>
      <c r="D456" s="56" t="s">
        <v>1287</v>
      </c>
      <c r="E456" s="56" t="s">
        <v>1348</v>
      </c>
      <c r="F456" s="56" t="s">
        <v>1213</v>
      </c>
      <c r="G456" s="56" t="s">
        <v>1349</v>
      </c>
      <c r="H456" s="56"/>
    </row>
    <row r="457" spans="1:8" ht="15" customHeight="1">
      <c r="A457" s="56">
        <v>456</v>
      </c>
      <c r="B457" s="56" t="s">
        <v>2280</v>
      </c>
      <c r="C457" s="56" t="s">
        <v>2281</v>
      </c>
      <c r="D457" s="56" t="s">
        <v>1287</v>
      </c>
      <c r="E457" s="56" t="s">
        <v>1348</v>
      </c>
      <c r="F457" s="56" t="s">
        <v>1213</v>
      </c>
      <c r="G457" s="56" t="s">
        <v>1360</v>
      </c>
      <c r="H457" s="56"/>
    </row>
    <row r="458" spans="1:8" ht="15" customHeight="1">
      <c r="A458" s="56">
        <v>457</v>
      </c>
      <c r="B458" s="56" t="s">
        <v>2282</v>
      </c>
      <c r="C458" s="56" t="s">
        <v>2283</v>
      </c>
      <c r="D458" s="56" t="s">
        <v>1287</v>
      </c>
      <c r="E458" s="56" t="s">
        <v>1348</v>
      </c>
      <c r="F458" s="56" t="s">
        <v>1213</v>
      </c>
      <c r="G458" s="56" t="s">
        <v>1363</v>
      </c>
      <c r="H458" s="56"/>
    </row>
    <row r="459" spans="1:8" ht="15" customHeight="1">
      <c r="A459" s="56">
        <v>458</v>
      </c>
      <c r="B459" s="56" t="s">
        <v>2284</v>
      </c>
      <c r="C459" s="56" t="s">
        <v>2285</v>
      </c>
      <c r="D459" s="56" t="s">
        <v>1287</v>
      </c>
      <c r="E459" s="56" t="s">
        <v>1356</v>
      </c>
      <c r="F459" s="56" t="s">
        <v>1208</v>
      </c>
      <c r="G459" s="56" t="s">
        <v>1500</v>
      </c>
      <c r="H459" s="56"/>
    </row>
    <row r="460" spans="1:8" ht="15" customHeight="1">
      <c r="A460" s="56">
        <v>459</v>
      </c>
      <c r="B460" s="56" t="s">
        <v>2286</v>
      </c>
      <c r="C460" s="56" t="s">
        <v>2287</v>
      </c>
      <c r="D460" s="56" t="s">
        <v>1287</v>
      </c>
      <c r="E460" s="56" t="s">
        <v>1348</v>
      </c>
      <c r="F460" s="56" t="s">
        <v>1213</v>
      </c>
      <c r="G460" s="56" t="s">
        <v>1621</v>
      </c>
      <c r="H460" s="56"/>
    </row>
    <row r="461" spans="1:8" ht="15" customHeight="1">
      <c r="A461" s="56">
        <v>460</v>
      </c>
      <c r="B461" s="56" t="s">
        <v>2288</v>
      </c>
      <c r="C461" s="56" t="s">
        <v>2289</v>
      </c>
      <c r="D461" s="56" t="s">
        <v>1287</v>
      </c>
      <c r="E461" s="56" t="s">
        <v>1348</v>
      </c>
      <c r="F461" s="56" t="s">
        <v>1213</v>
      </c>
      <c r="G461" s="56" t="s">
        <v>1621</v>
      </c>
      <c r="H461" s="56"/>
    </row>
    <row r="462" spans="1:8" ht="15" customHeight="1">
      <c r="A462" s="56">
        <v>461</v>
      </c>
      <c r="B462" s="56" t="s">
        <v>2290</v>
      </c>
      <c r="C462" s="56" t="s">
        <v>2291</v>
      </c>
      <c r="D462" s="56" t="s">
        <v>1287</v>
      </c>
      <c r="E462" s="56" t="s">
        <v>1348</v>
      </c>
      <c r="F462" s="56" t="s">
        <v>1213</v>
      </c>
      <c r="G462" s="56" t="s">
        <v>1621</v>
      </c>
      <c r="H462" s="56"/>
    </row>
    <row r="463" spans="1:8" ht="15" customHeight="1">
      <c r="A463" s="56">
        <v>462</v>
      </c>
      <c r="B463" s="56" t="s">
        <v>2292</v>
      </c>
      <c r="C463" s="56" t="s">
        <v>2293</v>
      </c>
      <c r="D463" s="56" t="s">
        <v>1287</v>
      </c>
      <c r="E463" s="56" t="s">
        <v>1356</v>
      </c>
      <c r="F463" s="56" t="s">
        <v>1208</v>
      </c>
      <c r="G463" s="56" t="s">
        <v>1621</v>
      </c>
      <c r="H463" s="56"/>
    </row>
    <row r="464" spans="1:8" ht="15" customHeight="1">
      <c r="A464" s="56">
        <v>463</v>
      </c>
      <c r="B464" s="56" t="s">
        <v>2294</v>
      </c>
      <c r="C464" s="56" t="s">
        <v>2295</v>
      </c>
      <c r="D464" s="56" t="s">
        <v>1287</v>
      </c>
      <c r="E464" s="56" t="s">
        <v>1348</v>
      </c>
      <c r="F464" s="56" t="s">
        <v>1213</v>
      </c>
      <c r="G464" s="56" t="s">
        <v>1621</v>
      </c>
      <c r="H464" s="56"/>
    </row>
    <row r="465" spans="1:8" ht="15" customHeight="1">
      <c r="A465" s="56">
        <v>464</v>
      </c>
      <c r="B465" s="56" t="s">
        <v>2296</v>
      </c>
      <c r="C465" s="56" t="s">
        <v>2297</v>
      </c>
      <c r="D465" s="56" t="s">
        <v>1287</v>
      </c>
      <c r="E465" s="56" t="s">
        <v>1348</v>
      </c>
      <c r="F465" s="56" t="s">
        <v>1213</v>
      </c>
      <c r="G465" s="56" t="s">
        <v>1425</v>
      </c>
      <c r="H465" s="56"/>
    </row>
    <row r="466" spans="1:8" ht="15" customHeight="1">
      <c r="A466" s="56">
        <v>465</v>
      </c>
      <c r="B466" s="56" t="s">
        <v>2298</v>
      </c>
      <c r="C466" s="56" t="s">
        <v>2299</v>
      </c>
      <c r="D466" s="56" t="s">
        <v>1287</v>
      </c>
      <c r="E466" s="56" t="s">
        <v>1348</v>
      </c>
      <c r="F466" s="56" t="s">
        <v>1213</v>
      </c>
      <c r="G466" s="56" t="s">
        <v>1465</v>
      </c>
      <c r="H466" s="56"/>
    </row>
    <row r="467" spans="1:8" ht="15" customHeight="1">
      <c r="A467" s="56">
        <v>466</v>
      </c>
      <c r="B467" s="56" t="s">
        <v>2300</v>
      </c>
      <c r="C467" s="56" t="s">
        <v>2301</v>
      </c>
      <c r="D467" s="56" t="s">
        <v>1287</v>
      </c>
      <c r="E467" s="56" t="s">
        <v>1348</v>
      </c>
      <c r="F467" s="56" t="s">
        <v>1213</v>
      </c>
      <c r="G467" s="56" t="s">
        <v>1439</v>
      </c>
      <c r="H467" s="56"/>
    </row>
    <row r="468" spans="1:8" ht="15" customHeight="1">
      <c r="A468" s="56">
        <v>467</v>
      </c>
      <c r="B468" s="56" t="s">
        <v>2302</v>
      </c>
      <c r="C468" s="56" t="s">
        <v>2303</v>
      </c>
      <c r="D468" s="56" t="s">
        <v>1287</v>
      </c>
      <c r="E468" s="56" t="s">
        <v>1356</v>
      </c>
      <c r="F468" s="56" t="s">
        <v>1208</v>
      </c>
      <c r="G468" s="56" t="s">
        <v>1439</v>
      </c>
      <c r="H468" s="56"/>
    </row>
    <row r="469" spans="1:8" ht="15" customHeight="1">
      <c r="A469" s="56">
        <v>468</v>
      </c>
      <c r="B469" s="56" t="s">
        <v>2304</v>
      </c>
      <c r="C469" s="56" t="s">
        <v>2305</v>
      </c>
      <c r="D469" s="56" t="s">
        <v>1287</v>
      </c>
      <c r="E469" s="56" t="s">
        <v>1356</v>
      </c>
      <c r="F469" s="56" t="s">
        <v>1208</v>
      </c>
      <c r="G469" s="56" t="s">
        <v>1392</v>
      </c>
      <c r="H469" s="56"/>
    </row>
    <row r="470" spans="1:8" ht="15" customHeight="1">
      <c r="A470" s="56">
        <v>469</v>
      </c>
      <c r="B470" s="56" t="s">
        <v>2306</v>
      </c>
      <c r="C470" s="56" t="s">
        <v>2307</v>
      </c>
      <c r="D470" s="56" t="s">
        <v>1287</v>
      </c>
      <c r="E470" s="56" t="s">
        <v>1348</v>
      </c>
      <c r="F470" s="56" t="s">
        <v>1213</v>
      </c>
      <c r="G470" s="56" t="s">
        <v>1400</v>
      </c>
      <c r="H470" s="56"/>
    </row>
    <row r="471" spans="1:8" ht="15" customHeight="1">
      <c r="A471" s="56">
        <v>470</v>
      </c>
      <c r="B471" s="56" t="s">
        <v>2308</v>
      </c>
      <c r="C471" s="56" t="s">
        <v>2309</v>
      </c>
      <c r="D471" s="56" t="s">
        <v>1287</v>
      </c>
      <c r="E471" s="56" t="s">
        <v>1348</v>
      </c>
      <c r="F471" s="56" t="s">
        <v>1213</v>
      </c>
      <c r="G471" s="56" t="s">
        <v>1500</v>
      </c>
      <c r="H471" s="56"/>
    </row>
    <row r="472" spans="1:8" ht="15" customHeight="1">
      <c r="A472" s="56">
        <v>471</v>
      </c>
      <c r="B472" s="56" t="s">
        <v>2310</v>
      </c>
      <c r="C472" s="56" t="s">
        <v>2311</v>
      </c>
      <c r="D472" s="56" t="s">
        <v>1287</v>
      </c>
      <c r="E472" s="56" t="s">
        <v>1348</v>
      </c>
      <c r="F472" s="56" t="s">
        <v>1213</v>
      </c>
      <c r="G472" s="56" t="s">
        <v>1406</v>
      </c>
      <c r="H472" s="56"/>
    </row>
    <row r="473" spans="1:8" ht="15" customHeight="1">
      <c r="A473" s="56">
        <v>472</v>
      </c>
      <c r="B473" s="56" t="s">
        <v>2312</v>
      </c>
      <c r="C473" s="56" t="s">
        <v>2313</v>
      </c>
      <c r="D473" s="56" t="s">
        <v>1322</v>
      </c>
      <c r="E473" s="56" t="s">
        <v>1352</v>
      </c>
      <c r="F473" s="56" t="s">
        <v>1221</v>
      </c>
      <c r="G473" s="56" t="s">
        <v>1823</v>
      </c>
      <c r="H473" s="56"/>
    </row>
    <row r="474" spans="1:8" ht="15" customHeight="1">
      <c r="A474" s="56">
        <v>473</v>
      </c>
      <c r="B474" s="56" t="s">
        <v>2314</v>
      </c>
      <c r="C474" s="56" t="s">
        <v>2315</v>
      </c>
      <c r="D474" s="56" t="s">
        <v>1322</v>
      </c>
      <c r="E474" s="56" t="s">
        <v>1352</v>
      </c>
      <c r="F474" s="56" t="s">
        <v>1221</v>
      </c>
      <c r="G474" s="56" t="s">
        <v>1409</v>
      </c>
      <c r="H474" s="56"/>
    </row>
    <row r="475" spans="1:8" ht="15" customHeight="1">
      <c r="A475" s="56">
        <v>474</v>
      </c>
      <c r="B475" s="56" t="s">
        <v>2316</v>
      </c>
      <c r="C475" s="56" t="s">
        <v>2317</v>
      </c>
      <c r="D475" s="56" t="s">
        <v>1322</v>
      </c>
      <c r="E475" s="56" t="s">
        <v>1348</v>
      </c>
      <c r="F475" s="56" t="s">
        <v>1213</v>
      </c>
      <c r="G475" s="56" t="s">
        <v>1357</v>
      </c>
      <c r="H475" s="56"/>
    </row>
    <row r="476" spans="1:8" ht="15" customHeight="1">
      <c r="A476" s="56">
        <v>475</v>
      </c>
      <c r="B476" s="56" t="s">
        <v>2318</v>
      </c>
      <c r="C476" s="56" t="s">
        <v>2319</v>
      </c>
      <c r="D476" s="56" t="s">
        <v>1322</v>
      </c>
      <c r="E476" s="56" t="s">
        <v>1348</v>
      </c>
      <c r="F476" s="56" t="s">
        <v>1213</v>
      </c>
      <c r="G476" s="56" t="s">
        <v>1360</v>
      </c>
      <c r="H476" s="56"/>
    </row>
    <row r="477" spans="1:8" ht="15" customHeight="1">
      <c r="A477" s="56">
        <v>476</v>
      </c>
      <c r="B477" s="56" t="s">
        <v>2320</v>
      </c>
      <c r="C477" s="56" t="s">
        <v>2321</v>
      </c>
      <c r="D477" s="56" t="s">
        <v>1322</v>
      </c>
      <c r="E477" s="56" t="s">
        <v>1416</v>
      </c>
      <c r="F477" s="56" t="s">
        <v>1230</v>
      </c>
      <c r="G477" s="56" t="s">
        <v>1363</v>
      </c>
      <c r="H477" s="56"/>
    </row>
    <row r="478" spans="1:8" ht="15" customHeight="1">
      <c r="A478" s="56">
        <v>477</v>
      </c>
      <c r="B478" s="56" t="s">
        <v>2322</v>
      </c>
      <c r="C478" s="56" t="s">
        <v>1504</v>
      </c>
      <c r="D478" s="56" t="s">
        <v>1322</v>
      </c>
      <c r="E478" s="56" t="s">
        <v>1352</v>
      </c>
      <c r="F478" s="56" t="s">
        <v>1221</v>
      </c>
      <c r="G478" s="56" t="s">
        <v>1419</v>
      </c>
      <c r="H478" s="56"/>
    </row>
    <row r="479" spans="1:8" ht="15" customHeight="1">
      <c r="A479" s="56">
        <v>478</v>
      </c>
      <c r="B479" s="56" t="s">
        <v>2323</v>
      </c>
      <c r="C479" s="56" t="s">
        <v>2324</v>
      </c>
      <c r="D479" s="56" t="s">
        <v>1322</v>
      </c>
      <c r="E479" s="56" t="s">
        <v>1352</v>
      </c>
      <c r="F479" s="56" t="s">
        <v>1221</v>
      </c>
      <c r="G479" s="56" t="s">
        <v>1509</v>
      </c>
      <c r="H479" s="56" t="s">
        <v>1403</v>
      </c>
    </row>
    <row r="480" spans="1:8" ht="15" customHeight="1">
      <c r="A480" s="56">
        <v>479</v>
      </c>
      <c r="B480" s="56" t="s">
        <v>2325</v>
      </c>
      <c r="C480" s="56" t="s">
        <v>2326</v>
      </c>
      <c r="D480" s="56" t="s">
        <v>1322</v>
      </c>
      <c r="E480" s="56" t="s">
        <v>1356</v>
      </c>
      <c r="F480" s="56" t="s">
        <v>1208</v>
      </c>
      <c r="G480" s="56" t="s">
        <v>1621</v>
      </c>
      <c r="H480" s="56"/>
    </row>
    <row r="481" spans="1:8" ht="15" customHeight="1">
      <c r="A481" s="56">
        <v>480</v>
      </c>
      <c r="B481" s="56" t="s">
        <v>2327</v>
      </c>
      <c r="C481" s="56" t="s">
        <v>2328</v>
      </c>
      <c r="D481" s="56" t="s">
        <v>1322</v>
      </c>
      <c r="E481" s="56" t="s">
        <v>1348</v>
      </c>
      <c r="F481" s="56" t="s">
        <v>1213</v>
      </c>
      <c r="G481" s="56" t="s">
        <v>1621</v>
      </c>
      <c r="H481" s="56"/>
    </row>
    <row r="482" spans="1:8" ht="15" customHeight="1">
      <c r="A482" s="56">
        <v>481</v>
      </c>
      <c r="B482" s="56" t="s">
        <v>2329</v>
      </c>
      <c r="C482" s="56" t="s">
        <v>2330</v>
      </c>
      <c r="D482" s="56" t="s">
        <v>1322</v>
      </c>
      <c r="E482" s="56" t="s">
        <v>1348</v>
      </c>
      <c r="F482" s="56" t="s">
        <v>1213</v>
      </c>
      <c r="G482" s="56" t="s">
        <v>1371</v>
      </c>
      <c r="H482" s="56"/>
    </row>
    <row r="483" spans="1:8" ht="15" customHeight="1">
      <c r="A483" s="56">
        <v>482</v>
      </c>
      <c r="B483" s="56" t="s">
        <v>2331</v>
      </c>
      <c r="C483" s="56" t="s">
        <v>2332</v>
      </c>
      <c r="D483" s="56" t="s">
        <v>1322</v>
      </c>
      <c r="E483" s="56" t="s">
        <v>1356</v>
      </c>
      <c r="F483" s="56" t="s">
        <v>1208</v>
      </c>
      <c r="G483" s="56" t="s">
        <v>1376</v>
      </c>
      <c r="H483" s="56"/>
    </row>
    <row r="484" spans="1:8" ht="15" customHeight="1">
      <c r="A484" s="56">
        <v>483</v>
      </c>
      <c r="B484" s="56" t="s">
        <v>2333</v>
      </c>
      <c r="C484" s="56" t="s">
        <v>2334</v>
      </c>
      <c r="D484" s="56" t="s">
        <v>1322</v>
      </c>
      <c r="E484" s="56" t="s">
        <v>1356</v>
      </c>
      <c r="F484" s="56" t="s">
        <v>1208</v>
      </c>
      <c r="G484" s="56" t="s">
        <v>1465</v>
      </c>
      <c r="H484" s="56"/>
    </row>
    <row r="485" spans="1:8" ht="15" customHeight="1">
      <c r="A485" s="56">
        <v>484</v>
      </c>
      <c r="B485" s="56" t="s">
        <v>2335</v>
      </c>
      <c r="C485" s="56" t="s">
        <v>2336</v>
      </c>
      <c r="D485" s="56" t="s">
        <v>1322</v>
      </c>
      <c r="E485" s="56" t="s">
        <v>1348</v>
      </c>
      <c r="F485" s="56" t="s">
        <v>1213</v>
      </c>
      <c r="G485" s="56" t="s">
        <v>1392</v>
      </c>
      <c r="H485" s="56"/>
    </row>
    <row r="486" spans="1:8" ht="15" customHeight="1">
      <c r="A486" s="56">
        <v>485</v>
      </c>
      <c r="B486" s="56" t="s">
        <v>2337</v>
      </c>
      <c r="C486" s="56" t="s">
        <v>2338</v>
      </c>
      <c r="D486" s="56" t="s">
        <v>1322</v>
      </c>
      <c r="E486" s="56" t="s">
        <v>1352</v>
      </c>
      <c r="F486" s="56" t="s">
        <v>1221</v>
      </c>
      <c r="G486" s="56" t="s">
        <v>1392</v>
      </c>
      <c r="H486" s="56"/>
    </row>
    <row r="487" spans="1:8" ht="15" customHeight="1">
      <c r="A487" s="56">
        <v>486</v>
      </c>
      <c r="B487" s="56" t="s">
        <v>2339</v>
      </c>
      <c r="C487" s="56" t="s">
        <v>2340</v>
      </c>
      <c r="D487" s="56" t="s">
        <v>1322</v>
      </c>
      <c r="E487" s="56" t="s">
        <v>1352</v>
      </c>
      <c r="F487" s="56" t="s">
        <v>1221</v>
      </c>
      <c r="G487" s="56" t="s">
        <v>1392</v>
      </c>
      <c r="H487" s="56"/>
    </row>
    <row r="488" spans="1:8" ht="15" customHeight="1">
      <c r="A488" s="56">
        <v>487</v>
      </c>
      <c r="B488" s="56" t="s">
        <v>2341</v>
      </c>
      <c r="C488" s="56" t="s">
        <v>2342</v>
      </c>
      <c r="D488" s="56" t="s">
        <v>1322</v>
      </c>
      <c r="E488" s="56" t="s">
        <v>1356</v>
      </c>
      <c r="F488" s="56" t="s">
        <v>1208</v>
      </c>
      <c r="G488" s="56" t="s">
        <v>1397</v>
      </c>
      <c r="H488" s="56"/>
    </row>
    <row r="489" spans="1:8" ht="15" customHeight="1">
      <c r="A489" s="56">
        <v>488</v>
      </c>
      <c r="B489" s="56" t="s">
        <v>2343</v>
      </c>
      <c r="C489" s="56" t="s">
        <v>2344</v>
      </c>
      <c r="D489" s="56" t="s">
        <v>1322</v>
      </c>
      <c r="E489" s="56" t="s">
        <v>1348</v>
      </c>
      <c r="F489" s="56" t="s">
        <v>1213</v>
      </c>
      <c r="G489" s="56" t="s">
        <v>1397</v>
      </c>
      <c r="H489" s="56"/>
    </row>
    <row r="490" spans="1:8" ht="15" customHeight="1">
      <c r="A490" s="56">
        <v>489</v>
      </c>
      <c r="B490" s="56" t="s">
        <v>2345</v>
      </c>
      <c r="C490" s="56" t="s">
        <v>1322</v>
      </c>
      <c r="D490" s="56" t="s">
        <v>1322</v>
      </c>
      <c r="E490" s="56" t="s">
        <v>1352</v>
      </c>
      <c r="F490" s="56" t="s">
        <v>1221</v>
      </c>
      <c r="G490" s="56" t="s">
        <v>1400</v>
      </c>
      <c r="H490" s="56"/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F49"/>
  <sheetViews>
    <sheetView rightToLeft="1" zoomScaleNormal="100" workbookViewId="0"/>
  </sheetViews>
  <sheetFormatPr baseColWidth="10" defaultColWidth="8.6640625" defaultRowHeight="14"/>
  <cols>
    <col min="1" max="2" width="22" customWidth="1"/>
    <col min="3" max="3" width="26" customWidth="1"/>
    <col min="4" max="5" width="20" customWidth="1"/>
    <col min="6" max="6" width="16" customWidth="1"/>
  </cols>
  <sheetData>
    <row r="1" spans="1:6" ht="13.5" customHeight="1">
      <c r="A1" s="60" t="s">
        <v>2346</v>
      </c>
      <c r="B1" s="60"/>
      <c r="C1" s="60"/>
      <c r="D1" s="60"/>
      <c r="E1" s="60"/>
      <c r="F1" s="60"/>
    </row>
    <row r="3" spans="1:6" ht="15" customHeight="1">
      <c r="A3" s="60" t="s">
        <v>2347</v>
      </c>
      <c r="B3" s="60"/>
      <c r="C3" s="60"/>
      <c r="D3" s="60"/>
    </row>
    <row r="4" spans="1:6" ht="15" customHeight="1">
      <c r="A4" s="55" t="s">
        <v>2348</v>
      </c>
      <c r="B4" s="55" t="s">
        <v>2349</v>
      </c>
      <c r="C4" s="55" t="s">
        <v>2350</v>
      </c>
      <c r="D4" s="55" t="s">
        <v>2351</v>
      </c>
    </row>
    <row r="5" spans="1:6" ht="23.25" customHeight="1">
      <c r="A5" s="57">
        <v>1</v>
      </c>
      <c r="B5" s="57" t="s">
        <v>2352</v>
      </c>
      <c r="C5" s="57" t="s">
        <v>2353</v>
      </c>
      <c r="D5" s="57">
        <v>1</v>
      </c>
    </row>
    <row r="6" spans="1:6" ht="34.5" customHeight="1">
      <c r="A6" s="57">
        <v>2</v>
      </c>
      <c r="B6" s="57" t="s">
        <v>2354</v>
      </c>
      <c r="C6" s="57" t="s">
        <v>2355</v>
      </c>
      <c r="D6" s="57">
        <v>2</v>
      </c>
    </row>
    <row r="7" spans="1:6" ht="23.25" customHeight="1">
      <c r="A7" s="57">
        <v>3</v>
      </c>
      <c r="B7" s="57" t="s">
        <v>2356</v>
      </c>
      <c r="C7" s="57" t="s">
        <v>2357</v>
      </c>
      <c r="D7" s="57">
        <v>3</v>
      </c>
    </row>
    <row r="8" spans="1:6" ht="23.25" customHeight="1">
      <c r="A8" s="57">
        <v>4</v>
      </c>
      <c r="B8" s="57" t="s">
        <v>2358</v>
      </c>
      <c r="C8" s="57" t="s">
        <v>2359</v>
      </c>
      <c r="D8" s="57">
        <v>4</v>
      </c>
    </row>
    <row r="10" spans="1:6" ht="15" customHeight="1">
      <c r="A10" s="60" t="s">
        <v>2360</v>
      </c>
      <c r="B10" s="60"/>
      <c r="C10" s="60"/>
      <c r="D10" s="60"/>
    </row>
    <row r="11" spans="1:6" ht="15" customHeight="1">
      <c r="A11" s="55" t="s">
        <v>2361</v>
      </c>
      <c r="B11" s="55" t="s">
        <v>2362</v>
      </c>
      <c r="C11" s="55" t="s">
        <v>2363</v>
      </c>
      <c r="D11" s="55" t="s">
        <v>2364</v>
      </c>
    </row>
    <row r="12" spans="1:6" ht="23.25" customHeight="1">
      <c r="A12" s="57">
        <v>1</v>
      </c>
      <c r="B12" s="57" t="s">
        <v>2365</v>
      </c>
      <c r="C12" s="57" t="s">
        <v>2366</v>
      </c>
      <c r="D12" s="57">
        <v>1</v>
      </c>
    </row>
    <row r="13" spans="1:6" ht="15" customHeight="1">
      <c r="A13" s="57">
        <v>2</v>
      </c>
      <c r="B13" s="57" t="s">
        <v>2365</v>
      </c>
      <c r="C13" s="57" t="s">
        <v>2367</v>
      </c>
      <c r="D13" s="57">
        <v>1.5</v>
      </c>
    </row>
    <row r="14" spans="1:6" ht="15" customHeight="1">
      <c r="A14" s="57">
        <v>3</v>
      </c>
      <c r="B14" s="57" t="s">
        <v>2368</v>
      </c>
      <c r="C14" s="57" t="s">
        <v>2369</v>
      </c>
      <c r="D14" s="57">
        <v>2</v>
      </c>
    </row>
    <row r="15" spans="1:6" ht="15" customHeight="1">
      <c r="A15" s="57">
        <v>4</v>
      </c>
      <c r="B15" s="57" t="s">
        <v>2370</v>
      </c>
      <c r="C15" s="57" t="s">
        <v>2371</v>
      </c>
      <c r="D15" s="57">
        <v>2.5</v>
      </c>
    </row>
    <row r="16" spans="1:6" ht="23.25" customHeight="1">
      <c r="A16" s="57">
        <v>5</v>
      </c>
      <c r="B16" s="57" t="s">
        <v>2372</v>
      </c>
      <c r="C16" s="57" t="s">
        <v>2373</v>
      </c>
      <c r="D16" s="57">
        <v>3</v>
      </c>
    </row>
    <row r="17" spans="1:6" ht="15" customHeight="1">
      <c r="A17" s="57">
        <v>6</v>
      </c>
      <c r="B17" s="57" t="s">
        <v>2374</v>
      </c>
      <c r="C17" s="57" t="s">
        <v>2375</v>
      </c>
      <c r="D17" s="57">
        <v>5</v>
      </c>
    </row>
    <row r="19" spans="1:6" ht="15" customHeight="1">
      <c r="A19" s="60" t="s">
        <v>2376</v>
      </c>
      <c r="B19" s="60"/>
      <c r="C19" s="60"/>
      <c r="D19" s="60"/>
    </row>
    <row r="20" spans="1:6" ht="15" customHeight="1">
      <c r="A20" s="55" t="s">
        <v>2377</v>
      </c>
      <c r="B20" s="55" t="s">
        <v>2378</v>
      </c>
      <c r="C20" s="55" t="s">
        <v>2379</v>
      </c>
      <c r="D20" s="55" t="s">
        <v>1345</v>
      </c>
    </row>
    <row r="21" spans="1:6" ht="34.5" customHeight="1">
      <c r="A21" s="57" t="s">
        <v>1356</v>
      </c>
      <c r="B21" s="57" t="s">
        <v>1208</v>
      </c>
      <c r="C21" s="57">
        <v>0.35</v>
      </c>
      <c r="D21" s="57" t="s">
        <v>2380</v>
      </c>
    </row>
    <row r="22" spans="1:6" ht="15" customHeight="1">
      <c r="A22" s="57" t="s">
        <v>1348</v>
      </c>
      <c r="B22" s="57" t="s">
        <v>1213</v>
      </c>
      <c r="C22" s="57">
        <v>0.3</v>
      </c>
      <c r="D22" s="57" t="s">
        <v>2381</v>
      </c>
    </row>
    <row r="23" spans="1:6" ht="15" customHeight="1">
      <c r="A23" s="57" t="s">
        <v>1352</v>
      </c>
      <c r="B23" s="57" t="s">
        <v>1221</v>
      </c>
      <c r="C23" s="57">
        <v>0.25</v>
      </c>
      <c r="D23" s="57" t="s">
        <v>2382</v>
      </c>
    </row>
    <row r="24" spans="1:6" ht="34.5" customHeight="1">
      <c r="A24" s="57" t="s">
        <v>1416</v>
      </c>
      <c r="B24" s="57" t="s">
        <v>1230</v>
      </c>
      <c r="C24" s="57">
        <v>0.2</v>
      </c>
      <c r="D24" s="57" t="s">
        <v>2383</v>
      </c>
    </row>
    <row r="25" spans="1:6" ht="15" customHeight="1">
      <c r="A25" s="71" t="s">
        <v>2384</v>
      </c>
      <c r="B25" s="71"/>
      <c r="C25" s="71"/>
      <c r="D25" s="71"/>
    </row>
    <row r="27" spans="1:6" ht="13.5" customHeight="1">
      <c r="A27" s="60" t="s">
        <v>2385</v>
      </c>
      <c r="B27" s="60"/>
      <c r="C27" s="60"/>
      <c r="D27" s="60"/>
      <c r="E27" s="60"/>
      <c r="F27" s="60"/>
    </row>
    <row r="28" spans="1:6" ht="15" customHeight="1">
      <c r="A28" s="55" t="s">
        <v>2386</v>
      </c>
      <c r="B28" s="55" t="s">
        <v>2387</v>
      </c>
      <c r="C28" s="55" t="s">
        <v>2388</v>
      </c>
      <c r="D28" s="55" t="s">
        <v>2389</v>
      </c>
      <c r="E28" s="55" t="s">
        <v>2390</v>
      </c>
      <c r="F28" s="55" t="s">
        <v>2391</v>
      </c>
    </row>
    <row r="29" spans="1:6" ht="15" customHeight="1">
      <c r="A29" s="57">
        <v>1</v>
      </c>
      <c r="B29" s="57">
        <v>2.1999999999999999E-2</v>
      </c>
      <c r="C29" s="57">
        <v>0</v>
      </c>
      <c r="D29" s="57">
        <v>0</v>
      </c>
      <c r="E29" s="57">
        <v>0</v>
      </c>
      <c r="F29" s="57">
        <v>0</v>
      </c>
    </row>
    <row r="30" spans="1:6" ht="15" customHeight="1">
      <c r="A30" s="57">
        <v>1.5</v>
      </c>
      <c r="B30" s="57">
        <v>3.5000000000000003E-2</v>
      </c>
      <c r="C30" s="57">
        <v>0</v>
      </c>
      <c r="D30" s="57">
        <v>0</v>
      </c>
      <c r="E30" s="57">
        <v>0</v>
      </c>
      <c r="F30" s="57">
        <v>0</v>
      </c>
    </row>
    <row r="31" spans="1:6" ht="15" customHeight="1">
      <c r="A31" s="57">
        <v>2</v>
      </c>
      <c r="B31" s="57">
        <v>4.2000000000000003E-2</v>
      </c>
      <c r="C31" s="57">
        <v>0</v>
      </c>
      <c r="D31" s="57">
        <v>0</v>
      </c>
      <c r="E31" s="57">
        <v>0</v>
      </c>
      <c r="F31" s="57">
        <v>0</v>
      </c>
    </row>
    <row r="32" spans="1:6" ht="15" customHeight="1">
      <c r="A32" s="57">
        <v>2.5</v>
      </c>
      <c r="B32" s="57">
        <v>5.1999999999999998E-2</v>
      </c>
      <c r="C32" s="57">
        <v>2.1000000000000001E-2</v>
      </c>
      <c r="D32" s="57">
        <v>0</v>
      </c>
      <c r="E32" s="57">
        <v>0</v>
      </c>
      <c r="F32" s="57">
        <v>0</v>
      </c>
    </row>
    <row r="33" spans="1:6" ht="15" customHeight="1">
      <c r="A33" s="57">
        <v>3</v>
      </c>
      <c r="B33" s="57">
        <v>6.4000000000000001E-2</v>
      </c>
      <c r="C33" s="57">
        <v>2.5999999999999999E-2</v>
      </c>
      <c r="D33" s="57">
        <v>0</v>
      </c>
      <c r="E33" s="57">
        <v>0</v>
      </c>
      <c r="F33" s="57">
        <v>0</v>
      </c>
    </row>
    <row r="34" spans="1:6" ht="15" customHeight="1">
      <c r="A34" s="57">
        <v>4</v>
      </c>
      <c r="B34" s="57">
        <v>8.5000000000000006E-2</v>
      </c>
      <c r="C34" s="57">
        <v>3.4000000000000002E-2</v>
      </c>
      <c r="D34" s="57">
        <v>0</v>
      </c>
      <c r="E34" s="57">
        <v>0</v>
      </c>
      <c r="F34" s="57">
        <v>0</v>
      </c>
    </row>
    <row r="35" spans="1:6" ht="15" customHeight="1">
      <c r="A35" s="57">
        <v>5</v>
      </c>
      <c r="B35" s="57">
        <v>0.11</v>
      </c>
      <c r="C35" s="57">
        <v>4.2000000000000003E-2</v>
      </c>
      <c r="D35" s="57">
        <v>0</v>
      </c>
      <c r="E35" s="57">
        <v>0</v>
      </c>
      <c r="F35" s="57">
        <v>0</v>
      </c>
    </row>
    <row r="36" spans="1:6" ht="15" customHeight="1">
      <c r="A36" s="57">
        <v>6</v>
      </c>
      <c r="B36" s="57">
        <v>0.13</v>
      </c>
      <c r="C36" s="57">
        <v>5.0999999999999997E-2</v>
      </c>
      <c r="D36" s="57">
        <v>2.1999999999999999E-2</v>
      </c>
      <c r="E36" s="57">
        <v>0</v>
      </c>
      <c r="F36" s="57">
        <v>0</v>
      </c>
    </row>
    <row r="37" spans="1:6" ht="15" customHeight="1">
      <c r="A37" s="57">
        <v>8</v>
      </c>
      <c r="B37" s="57">
        <v>0.17</v>
      </c>
      <c r="C37" s="57">
        <v>6.7000000000000004E-2</v>
      </c>
      <c r="D37" s="57">
        <v>2.9000000000000001E-2</v>
      </c>
      <c r="E37" s="57">
        <v>0</v>
      </c>
      <c r="F37" s="57">
        <v>0</v>
      </c>
    </row>
    <row r="38" spans="1:6" ht="15" customHeight="1">
      <c r="A38" s="57">
        <v>10</v>
      </c>
      <c r="B38" s="57">
        <v>0.21</v>
      </c>
      <c r="C38" s="57">
        <v>8.5000000000000006E-2</v>
      </c>
      <c r="D38" s="57">
        <v>3.5999999999999997E-2</v>
      </c>
      <c r="E38" s="57">
        <v>0</v>
      </c>
      <c r="F38" s="57">
        <v>0</v>
      </c>
    </row>
    <row r="39" spans="1:6" ht="15" customHeight="1">
      <c r="A39" s="57">
        <v>12.5</v>
      </c>
      <c r="B39" s="57">
        <v>0.27</v>
      </c>
      <c r="C39" s="57">
        <v>0.105</v>
      </c>
      <c r="D39" s="57">
        <v>4.4999999999999998E-2</v>
      </c>
      <c r="E39" s="57">
        <v>2.1000000000000001E-2</v>
      </c>
      <c r="F39" s="57">
        <v>0</v>
      </c>
    </row>
    <row r="40" spans="1:6" ht="15" customHeight="1">
      <c r="A40" s="57">
        <v>15</v>
      </c>
      <c r="B40" s="57">
        <v>0.32</v>
      </c>
      <c r="C40" s="57">
        <v>0.125</v>
      </c>
      <c r="D40" s="57">
        <v>5.5E-2</v>
      </c>
      <c r="E40" s="57">
        <v>2.5999999999999999E-2</v>
      </c>
      <c r="F40" s="57">
        <v>0</v>
      </c>
    </row>
    <row r="41" spans="1:6" ht="15" customHeight="1">
      <c r="A41" s="57">
        <v>20</v>
      </c>
      <c r="B41" s="57">
        <v>0.42</v>
      </c>
      <c r="C41" s="57">
        <v>0.16500000000000001</v>
      </c>
      <c r="D41" s="57">
        <v>7.2999999999999995E-2</v>
      </c>
      <c r="E41" s="57">
        <v>3.4000000000000002E-2</v>
      </c>
      <c r="F41" s="57">
        <v>0</v>
      </c>
    </row>
    <row r="43" spans="1:6" ht="15" customHeight="1">
      <c r="A43" s="72" t="s">
        <v>2392</v>
      </c>
      <c r="B43" s="72"/>
      <c r="C43" s="72"/>
      <c r="D43" s="72"/>
      <c r="E43" s="72"/>
      <c r="F43" s="72"/>
    </row>
    <row r="44" spans="1:6" ht="15" customHeight="1">
      <c r="A44" s="72"/>
      <c r="B44" s="72"/>
      <c r="C44" s="72"/>
      <c r="D44" s="72"/>
      <c r="E44" s="72"/>
      <c r="F44" s="72"/>
    </row>
    <row r="45" spans="1:6" ht="15" customHeight="1">
      <c r="A45" s="72"/>
      <c r="B45" s="72"/>
      <c r="C45" s="72"/>
      <c r="D45" s="72"/>
      <c r="E45" s="72"/>
      <c r="F45" s="72"/>
    </row>
    <row r="46" spans="1:6" ht="15" customHeight="1">
      <c r="A46" s="72"/>
      <c r="B46" s="72"/>
      <c r="C46" s="72"/>
      <c r="D46" s="72"/>
      <c r="E46" s="72"/>
      <c r="F46" s="72"/>
    </row>
    <row r="47" spans="1:6" ht="15" customHeight="1">
      <c r="A47" s="72"/>
      <c r="B47" s="72"/>
      <c r="C47" s="72"/>
      <c r="D47" s="72"/>
      <c r="E47" s="72"/>
      <c r="F47" s="72"/>
    </row>
    <row r="48" spans="1:6" ht="15" customHeight="1">
      <c r="A48" s="72"/>
      <c r="B48" s="72"/>
      <c r="C48" s="72"/>
      <c r="D48" s="72"/>
      <c r="E48" s="72"/>
      <c r="F48" s="72"/>
    </row>
    <row r="49" spans="1:6" ht="15" customHeight="1">
      <c r="A49" s="72"/>
      <c r="B49" s="72"/>
      <c r="C49" s="72"/>
      <c r="D49" s="72"/>
      <c r="E49" s="72"/>
      <c r="F49" s="72"/>
    </row>
  </sheetData>
  <mergeCells count="7">
    <mergeCell ref="A27:F27"/>
    <mergeCell ref="A43:F49"/>
    <mergeCell ref="A1:F1"/>
    <mergeCell ref="A3:D3"/>
    <mergeCell ref="A10:D10"/>
    <mergeCell ref="A19:D19"/>
    <mergeCell ref="A25:D25"/>
  </mergeCells>
  <pageMargins left="0.75" right="0.75" top="1" bottom="1" header="0.511811023622047" footer="0.511811023622047"/>
  <pageSetup paperSize="9" orientation="portrait" horizontalDpi="300" verticalDpi="300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F36"/>
  <sheetViews>
    <sheetView rightToLeft="1" zoomScaleNormal="100" workbookViewId="0"/>
  </sheetViews>
  <sheetFormatPr baseColWidth="10" defaultColWidth="8.6640625" defaultRowHeight="14"/>
  <cols>
    <col min="1" max="1" width="6" customWidth="1"/>
    <col min="2" max="2" width="24" customWidth="1"/>
    <col min="3" max="3" width="16" customWidth="1"/>
    <col min="4" max="6" width="12" customWidth="1"/>
  </cols>
  <sheetData>
    <row r="1" spans="1:6" ht="23.25" customHeight="1">
      <c r="A1" s="58" t="s">
        <v>104</v>
      </c>
      <c r="B1" s="58" t="s">
        <v>12</v>
      </c>
      <c r="C1" s="58" t="s">
        <v>2393</v>
      </c>
      <c r="D1" s="58" t="s">
        <v>2394</v>
      </c>
      <c r="E1" s="58" t="s">
        <v>2395</v>
      </c>
      <c r="F1" s="58" t="s">
        <v>2396</v>
      </c>
    </row>
    <row r="2" spans="1:6" ht="15" customHeight="1">
      <c r="A2" s="59">
        <v>1</v>
      </c>
      <c r="B2" s="59" t="s">
        <v>1293</v>
      </c>
      <c r="C2" s="59" t="s">
        <v>2397</v>
      </c>
      <c r="D2" s="59">
        <v>2</v>
      </c>
      <c r="E2" s="59">
        <v>22</v>
      </c>
      <c r="F2" s="59">
        <v>21</v>
      </c>
    </row>
    <row r="3" spans="1:6" ht="15" customHeight="1">
      <c r="A3" s="59">
        <v>2</v>
      </c>
      <c r="B3" s="59" t="s">
        <v>1295</v>
      </c>
      <c r="C3" s="59" t="s">
        <v>2398</v>
      </c>
      <c r="D3" s="59">
        <v>23</v>
      </c>
      <c r="E3" s="59">
        <v>41</v>
      </c>
      <c r="F3" s="59">
        <v>19</v>
      </c>
    </row>
    <row r="4" spans="1:6" ht="15" customHeight="1">
      <c r="A4" s="59">
        <v>3</v>
      </c>
      <c r="B4" s="59" t="s">
        <v>1289</v>
      </c>
      <c r="C4" s="59" t="s">
        <v>2399</v>
      </c>
      <c r="D4" s="59">
        <v>42</v>
      </c>
      <c r="E4" s="59">
        <v>56</v>
      </c>
      <c r="F4" s="59">
        <v>15</v>
      </c>
    </row>
    <row r="5" spans="1:6" ht="15" customHeight="1">
      <c r="A5" s="59">
        <v>4</v>
      </c>
      <c r="B5" s="59" t="s">
        <v>1324</v>
      </c>
      <c r="C5" s="59" t="s">
        <v>2400</v>
      </c>
      <c r="D5" s="59">
        <v>57</v>
      </c>
      <c r="E5" s="59">
        <v>88</v>
      </c>
      <c r="F5" s="59">
        <v>32</v>
      </c>
    </row>
    <row r="6" spans="1:6" ht="15" customHeight="1">
      <c r="A6" s="59">
        <v>5</v>
      </c>
      <c r="B6" s="59" t="s">
        <v>1303</v>
      </c>
      <c r="C6" s="59" t="s">
        <v>2401</v>
      </c>
      <c r="D6" s="59">
        <v>89</v>
      </c>
      <c r="E6" s="59">
        <v>96</v>
      </c>
      <c r="F6" s="59">
        <v>8</v>
      </c>
    </row>
    <row r="7" spans="1:6" ht="15" customHeight="1">
      <c r="A7" s="59">
        <v>6</v>
      </c>
      <c r="B7" s="59" t="s">
        <v>1312</v>
      </c>
      <c r="C7" s="59" t="s">
        <v>2402</v>
      </c>
      <c r="D7" s="59">
        <v>97</v>
      </c>
      <c r="E7" s="59">
        <v>116</v>
      </c>
      <c r="F7" s="59">
        <v>20</v>
      </c>
    </row>
    <row r="8" spans="1:6" ht="15" customHeight="1">
      <c r="A8" s="59">
        <v>7</v>
      </c>
      <c r="B8" s="59" t="s">
        <v>1278</v>
      </c>
      <c r="C8" s="59" t="s">
        <v>2403</v>
      </c>
      <c r="D8" s="59">
        <v>117</v>
      </c>
      <c r="E8" s="59">
        <v>142</v>
      </c>
      <c r="F8" s="59">
        <v>26</v>
      </c>
    </row>
    <row r="9" spans="1:6" ht="15" customHeight="1">
      <c r="A9" s="59">
        <v>8</v>
      </c>
      <c r="B9" s="59" t="s">
        <v>1336</v>
      </c>
      <c r="C9" s="59" t="s">
        <v>2404</v>
      </c>
      <c r="D9" s="59">
        <v>143</v>
      </c>
      <c r="E9" s="59">
        <v>155</v>
      </c>
      <c r="F9" s="59">
        <v>13</v>
      </c>
    </row>
    <row r="10" spans="1:6" ht="15" customHeight="1">
      <c r="A10" s="59">
        <v>9</v>
      </c>
      <c r="B10" s="59" t="s">
        <v>1334</v>
      </c>
      <c r="C10" s="59" t="s">
        <v>2405</v>
      </c>
      <c r="D10" s="59">
        <v>156</v>
      </c>
      <c r="E10" s="59">
        <v>181</v>
      </c>
      <c r="F10" s="59">
        <v>26</v>
      </c>
    </row>
    <row r="11" spans="1:6" ht="15" customHeight="1">
      <c r="A11" s="59">
        <v>10</v>
      </c>
      <c r="B11" s="59" t="s">
        <v>1332</v>
      </c>
      <c r="C11" s="59" t="s">
        <v>2406</v>
      </c>
      <c r="D11" s="59">
        <v>182</v>
      </c>
      <c r="E11" s="59">
        <v>191</v>
      </c>
      <c r="F11" s="59">
        <v>10</v>
      </c>
    </row>
    <row r="12" spans="1:6" ht="15" customHeight="1">
      <c r="A12" s="59">
        <v>11</v>
      </c>
      <c r="B12" s="59" t="s">
        <v>1307</v>
      </c>
      <c r="C12" s="59" t="s">
        <v>2407</v>
      </c>
      <c r="D12" s="59">
        <v>192</v>
      </c>
      <c r="E12" s="59">
        <v>221</v>
      </c>
      <c r="F12" s="59">
        <v>30</v>
      </c>
    </row>
    <row r="13" spans="1:6" ht="15" customHeight="1">
      <c r="A13" s="59">
        <v>12</v>
      </c>
      <c r="B13" s="59" t="s">
        <v>1291</v>
      </c>
      <c r="C13" s="59" t="s">
        <v>2408</v>
      </c>
      <c r="D13" s="59">
        <v>222</v>
      </c>
      <c r="E13" s="59">
        <v>231</v>
      </c>
      <c r="F13" s="59">
        <v>10</v>
      </c>
    </row>
    <row r="14" spans="1:6" ht="15" customHeight="1">
      <c r="A14" s="59">
        <v>13</v>
      </c>
      <c r="B14" s="59" t="s">
        <v>1326</v>
      </c>
      <c r="C14" s="59" t="s">
        <v>2409</v>
      </c>
      <c r="D14" s="59">
        <v>232</v>
      </c>
      <c r="E14" s="59">
        <v>252</v>
      </c>
      <c r="F14" s="59">
        <v>21</v>
      </c>
    </row>
    <row r="15" spans="1:6" ht="15" customHeight="1">
      <c r="A15" s="59">
        <v>14</v>
      </c>
      <c r="B15" s="59" t="s">
        <v>1318</v>
      </c>
      <c r="C15" s="59" t="s">
        <v>2410</v>
      </c>
      <c r="D15" s="59">
        <v>253</v>
      </c>
      <c r="E15" s="59">
        <v>274</v>
      </c>
      <c r="F15" s="59">
        <v>22</v>
      </c>
    </row>
    <row r="16" spans="1:6" ht="15" customHeight="1">
      <c r="A16" s="59">
        <v>15</v>
      </c>
      <c r="B16" s="59" t="s">
        <v>1314</v>
      </c>
      <c r="C16" s="59" t="s">
        <v>2411</v>
      </c>
      <c r="D16" s="59">
        <v>275</v>
      </c>
      <c r="E16" s="59">
        <v>304</v>
      </c>
      <c r="F16" s="59">
        <v>30</v>
      </c>
    </row>
    <row r="17" spans="1:6" ht="15" customHeight="1">
      <c r="A17" s="59">
        <v>16</v>
      </c>
      <c r="B17" s="59" t="s">
        <v>1285</v>
      </c>
      <c r="C17" s="59" t="s">
        <v>2412</v>
      </c>
      <c r="D17" s="59">
        <v>305</v>
      </c>
      <c r="E17" s="59">
        <v>311</v>
      </c>
      <c r="F17" s="59">
        <v>7</v>
      </c>
    </row>
    <row r="18" spans="1:6" ht="15" customHeight="1">
      <c r="A18" s="59">
        <v>17</v>
      </c>
      <c r="B18" s="59" t="s">
        <v>13</v>
      </c>
      <c r="C18" s="59" t="s">
        <v>2413</v>
      </c>
      <c r="D18" s="59">
        <v>312</v>
      </c>
      <c r="E18" s="59">
        <v>316</v>
      </c>
      <c r="F18" s="59">
        <v>5</v>
      </c>
    </row>
    <row r="19" spans="1:6" ht="15" customHeight="1">
      <c r="A19" s="59">
        <v>18</v>
      </c>
      <c r="B19" s="59" t="s">
        <v>1305</v>
      </c>
      <c r="C19" s="59" t="s">
        <v>2414</v>
      </c>
      <c r="D19" s="59">
        <v>317</v>
      </c>
      <c r="E19" s="59">
        <v>325</v>
      </c>
      <c r="F19" s="59">
        <v>9</v>
      </c>
    </row>
    <row r="20" spans="1:6" ht="15" customHeight="1">
      <c r="A20" s="59">
        <v>19</v>
      </c>
      <c r="B20" s="59" t="s">
        <v>1328</v>
      </c>
      <c r="C20" s="59" t="s">
        <v>2415</v>
      </c>
      <c r="D20" s="59">
        <v>326</v>
      </c>
      <c r="E20" s="59">
        <v>347</v>
      </c>
      <c r="F20" s="59">
        <v>22</v>
      </c>
    </row>
    <row r="21" spans="1:6" ht="15" customHeight="1">
      <c r="A21" s="59">
        <v>20</v>
      </c>
      <c r="B21" s="59" t="s">
        <v>1283</v>
      </c>
      <c r="C21" s="59" t="s">
        <v>2416</v>
      </c>
      <c r="D21" s="59">
        <v>348</v>
      </c>
      <c r="E21" s="59">
        <v>360</v>
      </c>
      <c r="F21" s="59">
        <v>13</v>
      </c>
    </row>
    <row r="22" spans="1:6" ht="15" customHeight="1">
      <c r="A22" s="59">
        <v>21</v>
      </c>
      <c r="B22" s="59" t="s">
        <v>1316</v>
      </c>
      <c r="C22" s="59" t="s">
        <v>2417</v>
      </c>
      <c r="D22" s="59">
        <v>361</v>
      </c>
      <c r="E22" s="59">
        <v>373</v>
      </c>
      <c r="F22" s="59">
        <v>13</v>
      </c>
    </row>
    <row r="23" spans="1:6" ht="15" customHeight="1">
      <c r="A23" s="59">
        <v>22</v>
      </c>
      <c r="B23" s="59" t="s">
        <v>1299</v>
      </c>
      <c r="C23" s="59" t="s">
        <v>2418</v>
      </c>
      <c r="D23" s="59">
        <v>374</v>
      </c>
      <c r="E23" s="59">
        <v>382</v>
      </c>
      <c r="F23" s="59">
        <v>9</v>
      </c>
    </row>
    <row r="24" spans="1:6" ht="15" customHeight="1">
      <c r="A24" s="59">
        <v>23</v>
      </c>
      <c r="B24" s="59" t="s">
        <v>1309</v>
      </c>
      <c r="C24" s="59" t="s">
        <v>2419</v>
      </c>
      <c r="D24" s="59">
        <v>383</v>
      </c>
      <c r="E24" s="59">
        <v>394</v>
      </c>
      <c r="F24" s="59">
        <v>12</v>
      </c>
    </row>
    <row r="25" spans="1:6" ht="15" customHeight="1">
      <c r="A25" s="59">
        <v>24</v>
      </c>
      <c r="B25" s="59" t="s">
        <v>1297</v>
      </c>
      <c r="C25" s="59" t="s">
        <v>2420</v>
      </c>
      <c r="D25" s="59">
        <v>395</v>
      </c>
      <c r="E25" s="59">
        <v>402</v>
      </c>
      <c r="F25" s="59">
        <v>8</v>
      </c>
    </row>
    <row r="26" spans="1:6" ht="15" customHeight="1">
      <c r="A26" s="59">
        <v>25</v>
      </c>
      <c r="B26" s="59" t="s">
        <v>1320</v>
      </c>
      <c r="C26" s="59" t="s">
        <v>2421</v>
      </c>
      <c r="D26" s="59">
        <v>403</v>
      </c>
      <c r="E26" s="59">
        <v>423</v>
      </c>
      <c r="F26" s="59">
        <v>21</v>
      </c>
    </row>
    <row r="27" spans="1:6" ht="15" customHeight="1">
      <c r="A27" s="59">
        <v>26</v>
      </c>
      <c r="B27" s="59" t="s">
        <v>1301</v>
      </c>
      <c r="C27" s="59" t="s">
        <v>2422</v>
      </c>
      <c r="D27" s="59">
        <v>424</v>
      </c>
      <c r="E27" s="59">
        <v>440</v>
      </c>
      <c r="F27" s="59">
        <v>17</v>
      </c>
    </row>
    <row r="28" spans="1:6" ht="15" customHeight="1">
      <c r="A28" s="59">
        <v>27</v>
      </c>
      <c r="B28" s="59" t="s">
        <v>1311</v>
      </c>
      <c r="C28" s="59" t="s">
        <v>2423</v>
      </c>
      <c r="D28" s="59">
        <v>441</v>
      </c>
      <c r="E28" s="59">
        <v>444</v>
      </c>
      <c r="F28" s="59">
        <v>4</v>
      </c>
    </row>
    <row r="29" spans="1:6" ht="15" customHeight="1">
      <c r="A29" s="59">
        <v>28</v>
      </c>
      <c r="B29" s="59" t="s">
        <v>1330</v>
      </c>
      <c r="C29" s="59" t="s">
        <v>2424</v>
      </c>
      <c r="D29" s="59">
        <v>445</v>
      </c>
      <c r="E29" s="59">
        <v>454</v>
      </c>
      <c r="F29" s="59">
        <v>10</v>
      </c>
    </row>
    <row r="30" spans="1:6" ht="15" customHeight="1">
      <c r="A30" s="59">
        <v>29</v>
      </c>
      <c r="B30" s="59" t="s">
        <v>1287</v>
      </c>
      <c r="C30" s="59" t="s">
        <v>2425</v>
      </c>
      <c r="D30" s="59">
        <v>455</v>
      </c>
      <c r="E30" s="59">
        <v>472</v>
      </c>
      <c r="F30" s="59">
        <v>18</v>
      </c>
    </row>
    <row r="31" spans="1:6" ht="15" customHeight="1">
      <c r="A31" s="59">
        <v>30</v>
      </c>
      <c r="B31" s="59" t="s">
        <v>1322</v>
      </c>
      <c r="C31" s="59" t="s">
        <v>2426</v>
      </c>
      <c r="D31" s="59">
        <v>473</v>
      </c>
      <c r="E31" s="59">
        <v>490</v>
      </c>
      <c r="F31" s="59">
        <v>18</v>
      </c>
    </row>
    <row r="33" spans="1:6" ht="15" customHeight="1">
      <c r="A33" s="73" t="s">
        <v>2427</v>
      </c>
      <c r="B33" s="73"/>
      <c r="C33" s="73"/>
      <c r="D33" s="73"/>
      <c r="E33" s="73"/>
      <c r="F33" s="73"/>
    </row>
    <row r="34" spans="1:6" ht="15" customHeight="1">
      <c r="A34" s="73"/>
      <c r="B34" s="73"/>
      <c r="C34" s="73"/>
      <c r="D34" s="73"/>
      <c r="E34" s="73"/>
      <c r="F34" s="73"/>
    </row>
    <row r="35" spans="1:6" ht="15" customHeight="1">
      <c r="A35" s="73"/>
      <c r="B35" s="73"/>
      <c r="C35" s="73"/>
      <c r="D35" s="73"/>
      <c r="E35" s="73"/>
      <c r="F35" s="73"/>
    </row>
    <row r="36" spans="1:6" ht="15" customHeight="1">
      <c r="A36" s="73"/>
      <c r="B36" s="73"/>
      <c r="C36" s="73"/>
      <c r="D36" s="73"/>
      <c r="E36" s="73"/>
      <c r="F36" s="73"/>
    </row>
  </sheetData>
  <mergeCells count="1">
    <mergeCell ref="A33:F36"/>
  </mergeCell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16</vt:i4>
      </vt:variant>
      <vt:variant>
        <vt:lpstr>Named Ranges</vt:lpstr>
      </vt:variant>
      <vt:variant>
        <vt:i4>51</vt:i4>
      </vt:variant>
    </vt:vector>
  </HeadingPairs>
  <TitlesOfParts>
    <vt:vector size="67" baseType="lpstr">
      <vt:lpstr>محاسبه-ساده</vt:lpstr>
      <vt:lpstr>Data</vt:lpstr>
      <vt:lpstr>Rate-SubGroup</vt:lpstr>
      <vt:lpstr>Rate-Clauses</vt:lpstr>
      <vt:lpstr>Rate-IndividualMachines</vt:lpstr>
      <vt:lpstr>Rate-TPL</vt:lpstr>
      <vt:lpstr>Rate-Deductibles</vt:lpstr>
      <vt:lpstr>Rate-BINARY</vt:lpstr>
      <vt:lpstr>Rate-Region</vt:lpstr>
      <vt:lpstr>Currency-Conversion</vt:lpstr>
      <vt:lpstr>Rate-Asset</vt:lpstr>
      <vt:lpstr>Changelog</vt:lpstr>
      <vt:lpstr>Rate-Hazard</vt:lpstr>
      <vt:lpstr>Hazard-Cities-2800</vt:lpstr>
      <vt:lpstr>Rate-EQ-SwissRe</vt:lpstr>
      <vt:lpstr>Hazard-Province-Index</vt:lpstr>
      <vt:lpstr>EAR_01___Public_Utilities</vt:lpstr>
      <vt:lpstr>EAR_02___Industrial_Plant_Utilities</vt:lpstr>
      <vt:lpstr>EAR_03___Mining_Industry</vt:lpstr>
      <vt:lpstr>EAR_04___Chemical_Industry</vt:lpstr>
      <vt:lpstr>EAR_05___Metal_Industry</vt:lpstr>
      <vt:lpstr>EAR_06___Building_Industry</vt:lpstr>
      <vt:lpstr>EAR_07___Timber___Wood</vt:lpstr>
      <vt:lpstr>EAR_08___Pulp___Paper</vt:lpstr>
      <vt:lpstr>EAR_09___Printing___Packing</vt:lpstr>
      <vt:lpstr>EAR_10___Leather_Industry</vt:lpstr>
      <vt:lpstr>EAR_11___Textile_Industry</vt:lpstr>
      <vt:lpstr>EAR_12___Plastic___Rubber</vt:lpstr>
      <vt:lpstr>EAR_13___Food__Vegetable_</vt:lpstr>
      <vt:lpstr>EAR_14___Food__Animal_</vt:lpstr>
      <vt:lpstr>EAR_15___Food_Refrigeration</vt:lpstr>
      <vt:lpstr>EAR_16___Transport___Warehouses</vt:lpstr>
      <vt:lpstr>EAR_17___Public_Services</vt:lpstr>
      <vt:lpstr>EAR_18___Hospitals___Hotels</vt:lpstr>
      <vt:lpstr>EAR_19___Farming___Agriculture</vt:lpstr>
      <vt:lpstr>EAR_Clauses</vt:lpstr>
      <vt:lpstr>EAR_Groups</vt:lpstr>
      <vt:lpstr>HZP_01</vt:lpstr>
      <vt:lpstr>HZP_02</vt:lpstr>
      <vt:lpstr>HZP_03</vt:lpstr>
      <vt:lpstr>HZP_04</vt:lpstr>
      <vt:lpstr>HZP_05</vt:lpstr>
      <vt:lpstr>HZP_06</vt:lpstr>
      <vt:lpstr>HZP_07</vt:lpstr>
      <vt:lpstr>HZP_08</vt:lpstr>
      <vt:lpstr>HZP_09</vt:lpstr>
      <vt:lpstr>HZP_10</vt:lpstr>
      <vt:lpstr>HZP_11</vt:lpstr>
      <vt:lpstr>HZP_12</vt:lpstr>
      <vt:lpstr>HZP_13</vt:lpstr>
      <vt:lpstr>HZP_14</vt:lpstr>
      <vt:lpstr>HZP_15</vt:lpstr>
      <vt:lpstr>HZP_16</vt:lpstr>
      <vt:lpstr>HZP_17</vt:lpstr>
      <vt:lpstr>HZP_18</vt:lpstr>
      <vt:lpstr>HZP_19</vt:lpstr>
      <vt:lpstr>HZP_20</vt:lpstr>
      <vt:lpstr>HZP_21</vt:lpstr>
      <vt:lpstr>HZP_22</vt:lpstr>
      <vt:lpstr>HZP_23</vt:lpstr>
      <vt:lpstr>HZP_24</vt:lpstr>
      <vt:lpstr>HZP_25</vt:lpstr>
      <vt:lpstr>HZP_26</vt:lpstr>
      <vt:lpstr>HZP_27</vt:lpstr>
      <vt:lpstr>HZP_28</vt:lpstr>
      <vt:lpstr>HZP_29</vt:lpstr>
      <vt:lpstr>HZP_30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Mohamad Rezaie</dc:creator>
  <dc:description/>
  <cp:lastModifiedBy>Hami</cp:lastModifiedBy>
  <cp:revision>0</cp:revision>
  <cp:lastPrinted>2026-06-14T10:40:53Z</cp:lastPrinted>
  <dcterms:created xsi:type="dcterms:W3CDTF">2026-06-13T09:48:24Z</dcterms:created>
  <dcterms:modified xsi:type="dcterms:W3CDTF">2026-07-21T06:00:57Z</dcterms:modified>
  <dc:language>en-US</dc:language>
</cp:coreProperties>
</file>